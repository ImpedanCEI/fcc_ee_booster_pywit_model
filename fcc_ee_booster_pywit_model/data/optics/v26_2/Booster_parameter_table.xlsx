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01_Projets\02_EnCours\Collisionneurs\FCC\ee\04_Python\fcc-ee-heb\"/>
    </mc:Choice>
  </mc:AlternateContent>
  <xr:revisionPtr revIDLastSave="0" documentId="13_ncr:1_{55681765-1183-42D2-AB75-D1F61875E1E0}" xr6:coauthVersionLast="47" xr6:coauthVersionMax="47" xr10:uidLastSave="{00000000-0000-0000-0000-000000000000}"/>
  <bookViews>
    <workbookView xWindow="29265" yWindow="1695" windowWidth="17280" windowHeight="8880" xr2:uid="{00000000-000D-0000-FFFF-FFFF00000000}"/>
  </bookViews>
  <sheets>
    <sheet name="V26_LCC" sheetId="10" r:id="rId1"/>
    <sheet name="V26_LCC_dipoles" sheetId="13" r:id="rId2"/>
    <sheet name="V26_LCC_quadrupoles" sheetId="11" r:id="rId3"/>
    <sheet name="V26_LCC_sextupoles" sheetId="12" r:id="rId4"/>
    <sheet name="tanx-x" sheetId="6" r:id="rId5"/>
  </sheets>
  <definedNames>
    <definedName name="_xlnm._FilterDatabase" localSheetId="1" hidden="1">V26_LCC_dipoles!$A$1:$F$11</definedName>
    <definedName name="_xlnm._FilterDatabase" localSheetId="2" hidden="1">V26_LCC_quadrupoles!$A$1:$F$11</definedName>
    <definedName name="_xlnm._FilterDatabase" localSheetId="3" hidden="1">V26_LCC_sextupoles!$A$1:$F$11</definedName>
    <definedName name="Cg">0.00008846</definedName>
    <definedName name="clight">299792458</definedName>
    <definedName name="Cq">0.00000000000038319</definedName>
    <definedName name="echarge">1.602176634E-19</definedName>
    <definedName name="emass">0.000510998949996164</definedName>
    <definedName name="table_quad" localSheetId="1">V26_LCC_dipoles!#REF!</definedName>
    <definedName name="table_quad" localSheetId="2">V26_LCC_quadrupoles!#REF!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" i="12" l="1"/>
  <c r="E104" i="10"/>
  <c r="F104" i="10"/>
  <c r="G104" i="10"/>
  <c r="D104" i="10"/>
  <c r="E106" i="10"/>
  <c r="F106" i="10"/>
  <c r="G106" i="10"/>
  <c r="D106" i="10"/>
  <c r="D105" i="10"/>
  <c r="E105" i="10"/>
  <c r="F105" i="10"/>
  <c r="G105" i="10"/>
  <c r="D117" i="10"/>
  <c r="M5" i="13" a="1"/>
  <c r="M5" i="13" s="1"/>
  <c r="M4" i="13"/>
  <c r="M3" i="13"/>
  <c r="C3" i="12"/>
  <c r="C4" i="12"/>
  <c r="C5" i="12"/>
  <c r="C6" i="12"/>
  <c r="C7" i="12"/>
  <c r="C8" i="12"/>
  <c r="C9" i="12"/>
  <c r="C10" i="12"/>
  <c r="C11" i="12"/>
  <c r="C12" i="12"/>
  <c r="C13" i="12"/>
  <c r="C2" i="12"/>
  <c r="M5" i="11" a="1"/>
  <c r="M5" i="11" s="1"/>
  <c r="M4" i="11"/>
  <c r="M3" i="11"/>
  <c r="E53" i="10"/>
  <c r="F53" i="10"/>
  <c r="G53" i="10"/>
  <c r="D53" i="10"/>
  <c r="E52" i="10"/>
  <c r="F52" i="10"/>
  <c r="G52" i="10"/>
  <c r="D52" i="10"/>
  <c r="E51" i="10"/>
  <c r="F51" i="10"/>
  <c r="G51" i="10"/>
  <c r="D51" i="10"/>
  <c r="E68" i="10" l="1"/>
  <c r="F68" i="10"/>
  <c r="G68" i="10"/>
  <c r="D69" i="10"/>
  <c r="E69" i="10"/>
  <c r="F69" i="10"/>
  <c r="D68" i="10" l="1"/>
  <c r="G69" i="10"/>
  <c r="D43" i="10"/>
  <c r="D88" i="10"/>
  <c r="D89" i="10" s="1"/>
  <c r="E86" i="10"/>
  <c r="E88" i="10" s="1"/>
  <c r="E89" i="10" s="1"/>
  <c r="M5" i="12" l="1"/>
  <c r="G127" i="10" s="1"/>
  <c r="M4" i="12"/>
  <c r="E128" i="10" s="1"/>
  <c r="M3" i="12"/>
  <c r="G129" i="10" s="1"/>
  <c r="G117" i="10"/>
  <c r="G107" i="10"/>
  <c r="F107" i="10"/>
  <c r="E107" i="10"/>
  <c r="D107" i="10"/>
  <c r="G100" i="10"/>
  <c r="G114" i="10" s="1"/>
  <c r="F100" i="10"/>
  <c r="F114" i="10" s="1"/>
  <c r="E100" i="10"/>
  <c r="E125" i="10" s="1"/>
  <c r="D100" i="10"/>
  <c r="D114" i="10" s="1"/>
  <c r="G86" i="10"/>
  <c r="F86" i="10"/>
  <c r="G65" i="10"/>
  <c r="F65" i="10"/>
  <c r="E65" i="10"/>
  <c r="D65" i="10"/>
  <c r="G36" i="10"/>
  <c r="F36" i="10"/>
  <c r="E36" i="10"/>
  <c r="D36" i="10"/>
  <c r="G35" i="10"/>
  <c r="I12" i="11" s="1"/>
  <c r="F35" i="10"/>
  <c r="H12" i="11" s="1"/>
  <c r="E35" i="10"/>
  <c r="D35" i="10"/>
  <c r="G27" i="10"/>
  <c r="F27" i="10"/>
  <c r="E27" i="10"/>
  <c r="D27" i="10"/>
  <c r="G26" i="10"/>
  <c r="F26" i="10"/>
  <c r="E26" i="10"/>
  <c r="D26" i="10"/>
  <c r="E10" i="11" s="1"/>
  <c r="G23" i="10"/>
  <c r="F23" i="10"/>
  <c r="E23" i="10"/>
  <c r="D23" i="10"/>
  <c r="G19" i="10"/>
  <c r="G20" i="10" s="1"/>
  <c r="F19" i="10"/>
  <c r="F20" i="10" s="1"/>
  <c r="E19" i="10"/>
  <c r="E20" i="10" s="1"/>
  <c r="D19" i="10"/>
  <c r="D20" i="10" s="1"/>
  <c r="G17" i="10"/>
  <c r="F17" i="10"/>
  <c r="E17" i="10"/>
  <c r="D17" i="10"/>
  <c r="G13" i="10"/>
  <c r="F13" i="10"/>
  <c r="F83" i="10" s="1"/>
  <c r="F84" i="10" s="1"/>
  <c r="E13" i="10"/>
  <c r="D13" i="10"/>
  <c r="D6" i="10"/>
  <c r="E22" i="11" l="1"/>
  <c r="E3" i="12"/>
  <c r="E33" i="11"/>
  <c r="E29" i="11"/>
  <c r="E27" i="11"/>
  <c r="E21" i="11"/>
  <c r="E19" i="11"/>
  <c r="H7" i="11"/>
  <c r="E18" i="11"/>
  <c r="E17" i="11"/>
  <c r="E16" i="11"/>
  <c r="E12" i="11"/>
  <c r="E15" i="11"/>
  <c r="E7" i="11"/>
  <c r="E14" i="11"/>
  <c r="E13" i="11"/>
  <c r="F2" i="13"/>
  <c r="F4" i="13"/>
  <c r="F3" i="13"/>
  <c r="G2" i="13"/>
  <c r="G4" i="13"/>
  <c r="G3" i="13"/>
  <c r="G13" i="11"/>
  <c r="H17" i="11"/>
  <c r="E11" i="11"/>
  <c r="H10" i="11"/>
  <c r="F14" i="11"/>
  <c r="G30" i="11"/>
  <c r="I3" i="13"/>
  <c r="J3" i="13" s="1"/>
  <c r="I4" i="13"/>
  <c r="J4" i="13" s="1"/>
  <c r="I2" i="13"/>
  <c r="G17" i="11"/>
  <c r="E3" i="11"/>
  <c r="E2" i="13"/>
  <c r="E2" i="11"/>
  <c r="E4" i="13"/>
  <c r="E3" i="13"/>
  <c r="I33" i="11"/>
  <c r="J33" i="11" s="1"/>
  <c r="E9" i="11"/>
  <c r="F12" i="11"/>
  <c r="D115" i="10"/>
  <c r="E32" i="11"/>
  <c r="H3" i="13"/>
  <c r="H4" i="13"/>
  <c r="H2" i="13"/>
  <c r="E126" i="10"/>
  <c r="F115" i="10"/>
  <c r="E31" i="11"/>
  <c r="G115" i="10"/>
  <c r="E30" i="11"/>
  <c r="G130" i="10"/>
  <c r="D83" i="10"/>
  <c r="D84" i="10" s="1"/>
  <c r="D28" i="10"/>
  <c r="D37" i="10"/>
  <c r="F3" i="12"/>
  <c r="I4" i="11"/>
  <c r="J4" i="11" s="1"/>
  <c r="I20" i="11"/>
  <c r="J20" i="11" s="1"/>
  <c r="F6" i="12"/>
  <c r="D59" i="10"/>
  <c r="D60" i="10" s="1"/>
  <c r="D62" i="10"/>
  <c r="D67" i="10" s="1"/>
  <c r="E114" i="10"/>
  <c r="E115" i="10" s="1"/>
  <c r="H22" i="11"/>
  <c r="G6" i="12"/>
  <c r="E28" i="11"/>
  <c r="E8" i="11"/>
  <c r="G88" i="10"/>
  <c r="G89" i="10" s="1"/>
  <c r="H3" i="11"/>
  <c r="E26" i="11"/>
  <c r="E6" i="11"/>
  <c r="F19" i="11"/>
  <c r="E62" i="10"/>
  <c r="E59" i="10"/>
  <c r="G59" i="10"/>
  <c r="G62" i="10"/>
  <c r="H4" i="11"/>
  <c r="G27" i="11"/>
  <c r="E12" i="12"/>
  <c r="E25" i="11"/>
  <c r="E5" i="11"/>
  <c r="G9" i="12"/>
  <c r="G3" i="12"/>
  <c r="G20" i="11"/>
  <c r="H3" i="12"/>
  <c r="F62" i="10"/>
  <c r="F59" i="10"/>
  <c r="F38" i="10" s="1"/>
  <c r="F24" i="11"/>
  <c r="I9" i="12"/>
  <c r="F6" i="11"/>
  <c r="H27" i="11"/>
  <c r="F12" i="12"/>
  <c r="E24" i="11"/>
  <c r="E4" i="11"/>
  <c r="F88" i="10"/>
  <c r="F89" i="10" s="1"/>
  <c r="F90" i="10" s="1"/>
  <c r="F91" i="10" s="1"/>
  <c r="F92" i="10" s="1"/>
  <c r="F125" i="10"/>
  <c r="F126" i="10" s="1"/>
  <c r="I23" i="11"/>
  <c r="J23" i="11" s="1"/>
  <c r="H9" i="12"/>
  <c r="F7" i="11"/>
  <c r="F29" i="11"/>
  <c r="E23" i="11"/>
  <c r="I7" i="11"/>
  <c r="J7" i="11" s="1"/>
  <c r="I30" i="11"/>
  <c r="J30" i="11" s="1"/>
  <c r="E6" i="12"/>
  <c r="G10" i="11"/>
  <c r="H32" i="11"/>
  <c r="E20" i="11"/>
  <c r="G37" i="10"/>
  <c r="G28" i="10"/>
  <c r="G83" i="10"/>
  <c r="G84" i="10" s="1"/>
  <c r="F37" i="10"/>
  <c r="F28" i="10"/>
  <c r="E57" i="10"/>
  <c r="E58" i="10" s="1"/>
  <c r="F57" i="10"/>
  <c r="F58" i="10" s="1"/>
  <c r="G57" i="10"/>
  <c r="G58" i="10" s="1"/>
  <c r="D57" i="10"/>
  <c r="D58" i="10" s="1"/>
  <c r="E55" i="10"/>
  <c r="E56" i="10" s="1"/>
  <c r="F55" i="10"/>
  <c r="F56" i="10" s="1"/>
  <c r="G55" i="10"/>
  <c r="G56" i="10" s="1"/>
  <c r="D55" i="10"/>
  <c r="D56" i="10" s="1"/>
  <c r="F18" i="10"/>
  <c r="G18" i="10"/>
  <c r="D18" i="10"/>
  <c r="F21" i="10"/>
  <c r="G21" i="10"/>
  <c r="D21" i="10"/>
  <c r="F72" i="10"/>
  <c r="F70" i="10"/>
  <c r="G72" i="10"/>
  <c r="G70" i="10"/>
  <c r="F73" i="10"/>
  <c r="F71" i="10"/>
  <c r="G73" i="10"/>
  <c r="G71" i="10"/>
  <c r="E83" i="10"/>
  <c r="E84" i="10" s="1"/>
  <c r="E90" i="10" s="1"/>
  <c r="E91" i="10" s="1"/>
  <c r="E92" i="10" s="1"/>
  <c r="E73" i="10"/>
  <c r="E18" i="10"/>
  <c r="E72" i="10"/>
  <c r="E71" i="10"/>
  <c r="E70" i="10"/>
  <c r="E37" i="10"/>
  <c r="E28" i="10"/>
  <c r="E21" i="10"/>
  <c r="D73" i="10"/>
  <c r="D71" i="10"/>
  <c r="D72" i="10"/>
  <c r="D70" i="10"/>
  <c r="D90" i="10"/>
  <c r="D91" i="10" s="1"/>
  <c r="D92" i="10" s="1"/>
  <c r="F129" i="10"/>
  <c r="J12" i="11"/>
  <c r="F118" i="10"/>
  <c r="G118" i="10"/>
  <c r="E118" i="10"/>
  <c r="D118" i="10"/>
  <c r="F116" i="10"/>
  <c r="F119" i="10" s="1"/>
  <c r="E116" i="10"/>
  <c r="E119" i="10" s="1"/>
  <c r="G116" i="10"/>
  <c r="G119" i="10" s="1"/>
  <c r="D116" i="10"/>
  <c r="D119" i="10" s="1"/>
  <c r="D108" i="10"/>
  <c r="D109" i="10" s="1"/>
  <c r="D129" i="10"/>
  <c r="I10" i="11"/>
  <c r="J10" i="11" s="1"/>
  <c r="G14" i="11"/>
  <c r="I17" i="11"/>
  <c r="J17" i="11" s="1"/>
  <c r="G24" i="11"/>
  <c r="I27" i="11"/>
  <c r="J27" i="11" s="1"/>
  <c r="I3" i="12"/>
  <c r="H6" i="12"/>
  <c r="G12" i="12"/>
  <c r="D128" i="10"/>
  <c r="F128" i="10"/>
  <c r="G128" i="10"/>
  <c r="E108" i="10"/>
  <c r="E109" i="10" s="1"/>
  <c r="E117" i="10"/>
  <c r="E129" i="10"/>
  <c r="F2" i="11"/>
  <c r="F5" i="11"/>
  <c r="H14" i="11"/>
  <c r="F21" i="11"/>
  <c r="H24" i="11"/>
  <c r="F31" i="11"/>
  <c r="I6" i="12"/>
  <c r="E10" i="12"/>
  <c r="H12" i="12"/>
  <c r="F108" i="10"/>
  <c r="F109" i="10" s="1"/>
  <c r="F117" i="10"/>
  <c r="G2" i="11"/>
  <c r="G5" i="11"/>
  <c r="I14" i="11"/>
  <c r="J14" i="11" s="1"/>
  <c r="G21" i="11"/>
  <c r="I24" i="11"/>
  <c r="J24" i="11" s="1"/>
  <c r="G31" i="11"/>
  <c r="F10" i="12"/>
  <c r="I12" i="12"/>
  <c r="G108" i="10"/>
  <c r="G109" i="10" s="1"/>
  <c r="H2" i="11"/>
  <c r="H5" i="11"/>
  <c r="F8" i="11"/>
  <c r="F18" i="11"/>
  <c r="H21" i="11"/>
  <c r="F28" i="11"/>
  <c r="H31" i="11"/>
  <c r="E4" i="12"/>
  <c r="E7" i="12"/>
  <c r="G10" i="12"/>
  <c r="D125" i="10"/>
  <c r="D126" i="10" s="1"/>
  <c r="I2" i="11"/>
  <c r="I5" i="11"/>
  <c r="J5" i="11" s="1"/>
  <c r="G8" i="11"/>
  <c r="F11" i="11"/>
  <c r="G18" i="11"/>
  <c r="I21" i="11"/>
  <c r="J21" i="11" s="1"/>
  <c r="G28" i="11"/>
  <c r="I31" i="11"/>
  <c r="J31" i="11" s="1"/>
  <c r="F4" i="12"/>
  <c r="F7" i="12"/>
  <c r="H10" i="12"/>
  <c r="H8" i="11"/>
  <c r="G11" i="11"/>
  <c r="F15" i="11"/>
  <c r="H18" i="11"/>
  <c r="F25" i="11"/>
  <c r="H28" i="11"/>
  <c r="G4" i="12"/>
  <c r="G7" i="12"/>
  <c r="I10" i="12"/>
  <c r="I8" i="11"/>
  <c r="J8" i="11" s="1"/>
  <c r="H11" i="11"/>
  <c r="G15" i="11"/>
  <c r="I18" i="11"/>
  <c r="J18" i="11" s="1"/>
  <c r="G25" i="11"/>
  <c r="I28" i="11"/>
  <c r="J28" i="11" s="1"/>
  <c r="H4" i="12"/>
  <c r="H7" i="12"/>
  <c r="G125" i="10"/>
  <c r="G126" i="10" s="1"/>
  <c r="F3" i="11"/>
  <c r="I11" i="11"/>
  <c r="J11" i="11" s="1"/>
  <c r="H15" i="11"/>
  <c r="F22" i="11"/>
  <c r="H25" i="11"/>
  <c r="F32" i="11"/>
  <c r="I4" i="12"/>
  <c r="J4" i="12" s="1"/>
  <c r="I7" i="12"/>
  <c r="J7" i="12" s="1"/>
  <c r="E11" i="12"/>
  <c r="G3" i="11"/>
  <c r="F13" i="11"/>
  <c r="I15" i="11"/>
  <c r="J15" i="11" s="1"/>
  <c r="G22" i="11"/>
  <c r="I25" i="11"/>
  <c r="J25" i="11" s="1"/>
  <c r="G32" i="11"/>
  <c r="F11" i="12"/>
  <c r="E8" i="12"/>
  <c r="G11" i="12"/>
  <c r="E13" i="12"/>
  <c r="I3" i="11"/>
  <c r="J3" i="11" s="1"/>
  <c r="G6" i="11"/>
  <c r="F9" i="11"/>
  <c r="H13" i="11"/>
  <c r="G19" i="11"/>
  <c r="I22" i="11"/>
  <c r="J22" i="11" s="1"/>
  <c r="G29" i="11"/>
  <c r="I32" i="11"/>
  <c r="J32" i="11" s="1"/>
  <c r="E2" i="12"/>
  <c r="E5" i="12"/>
  <c r="F8" i="12"/>
  <c r="H11" i="12"/>
  <c r="F13" i="12"/>
  <c r="H6" i="11"/>
  <c r="G9" i="11"/>
  <c r="I13" i="11"/>
  <c r="J13" i="11" s="1"/>
  <c r="F16" i="11"/>
  <c r="H19" i="11"/>
  <c r="F26" i="11"/>
  <c r="H29" i="11"/>
  <c r="F2" i="12"/>
  <c r="F5" i="12"/>
  <c r="G8" i="12"/>
  <c r="I11" i="12"/>
  <c r="J11" i="12" s="1"/>
  <c r="G13" i="12"/>
  <c r="D127" i="10"/>
  <c r="D130" i="10" s="1"/>
  <c r="I6" i="11"/>
  <c r="J6" i="11" s="1"/>
  <c r="H9" i="11"/>
  <c r="G16" i="11"/>
  <c r="I19" i="11"/>
  <c r="J19" i="11" s="1"/>
  <c r="G26" i="11"/>
  <c r="I29" i="11"/>
  <c r="J29" i="11" s="1"/>
  <c r="G2" i="12"/>
  <c r="G5" i="12"/>
  <c r="H8" i="12"/>
  <c r="H13" i="12"/>
  <c r="E127" i="10"/>
  <c r="E130" i="10" s="1"/>
  <c r="I9" i="11"/>
  <c r="J9" i="11" s="1"/>
  <c r="H16" i="11"/>
  <c r="F23" i="11"/>
  <c r="H26" i="11"/>
  <c r="F33" i="11"/>
  <c r="H2" i="12"/>
  <c r="H5" i="12"/>
  <c r="I8" i="12"/>
  <c r="J8" i="12" s="1"/>
  <c r="I13" i="12"/>
  <c r="J13" i="12" s="1"/>
  <c r="F127" i="10"/>
  <c r="F130" i="10" s="1"/>
  <c r="F4" i="11"/>
  <c r="I16" i="11"/>
  <c r="J16" i="11" s="1"/>
  <c r="G23" i="11"/>
  <c r="I26" i="11"/>
  <c r="J26" i="11" s="1"/>
  <c r="G33" i="11"/>
  <c r="I2" i="12"/>
  <c r="I5" i="12"/>
  <c r="J5" i="12" s="1"/>
  <c r="G4" i="11"/>
  <c r="F20" i="11"/>
  <c r="H23" i="11"/>
  <c r="F30" i="11"/>
  <c r="H33" i="11"/>
  <c r="E9" i="12"/>
  <c r="F9" i="12"/>
  <c r="G7" i="11"/>
  <c r="F10" i="11"/>
  <c r="G12" i="11"/>
  <c r="F17" i="11"/>
  <c r="H20" i="11"/>
  <c r="F27" i="11"/>
  <c r="H30" i="11"/>
  <c r="J3" i="12" l="1"/>
  <c r="J6" i="12"/>
  <c r="J12" i="12"/>
  <c r="P13" i="13"/>
  <c r="P11" i="13"/>
  <c r="P12" i="13"/>
  <c r="S12" i="13"/>
  <c r="F111" i="10" s="1"/>
  <c r="S11" i="13"/>
  <c r="F110" i="10" s="1"/>
  <c r="S13" i="13"/>
  <c r="T11" i="13"/>
  <c r="G110" i="10" s="1"/>
  <c r="T12" i="13"/>
  <c r="G111" i="10" s="1"/>
  <c r="J2" i="13"/>
  <c r="T13" i="13"/>
  <c r="Q12" i="13"/>
  <c r="D111" i="10" s="1"/>
  <c r="Q11" i="13"/>
  <c r="D110" i="10" s="1"/>
  <c r="Q13" i="13"/>
  <c r="R12" i="13"/>
  <c r="E111" i="10" s="1"/>
  <c r="R13" i="13"/>
  <c r="R11" i="13"/>
  <c r="E110" i="10" s="1"/>
  <c r="P13" i="11"/>
  <c r="F60" i="10"/>
  <c r="F39" i="10" s="1"/>
  <c r="S13" i="11"/>
  <c r="F120" i="10" s="1"/>
  <c r="S12" i="11"/>
  <c r="S11" i="11"/>
  <c r="G90" i="10"/>
  <c r="G91" i="10" s="1"/>
  <c r="G92" i="10" s="1"/>
  <c r="T13" i="11"/>
  <c r="G120" i="10" s="1"/>
  <c r="T12" i="11"/>
  <c r="T11" i="11"/>
  <c r="P12" i="11"/>
  <c r="P11" i="11"/>
  <c r="Q13" i="11"/>
  <c r="D120" i="10" s="1"/>
  <c r="Q12" i="11"/>
  <c r="Q11" i="11"/>
  <c r="R13" i="11"/>
  <c r="E120" i="10" s="1"/>
  <c r="R11" i="11"/>
  <c r="R12" i="11"/>
  <c r="Q13" i="12"/>
  <c r="D131" i="10" s="1"/>
  <c r="Q12" i="12"/>
  <c r="D133" i="10" s="1"/>
  <c r="Q11" i="12"/>
  <c r="D132" i="10" s="1"/>
  <c r="T13" i="12"/>
  <c r="G131" i="10" s="1"/>
  <c r="T12" i="12"/>
  <c r="G133" i="10" s="1"/>
  <c r="T11" i="12"/>
  <c r="G132" i="10" s="1"/>
  <c r="R13" i="12"/>
  <c r="E131" i="10" s="1"/>
  <c r="R12" i="12"/>
  <c r="E133" i="10" s="1"/>
  <c r="R11" i="12"/>
  <c r="E132" i="10" s="1"/>
  <c r="S13" i="12"/>
  <c r="F131" i="10" s="1"/>
  <c r="S12" i="12"/>
  <c r="F133" i="10" s="1"/>
  <c r="S11" i="12"/>
  <c r="F132" i="10" s="1"/>
  <c r="P13" i="12"/>
  <c r="P12" i="12"/>
  <c r="P11" i="12"/>
  <c r="G38" i="10"/>
  <c r="G60" i="10"/>
  <c r="G39" i="10" s="1"/>
  <c r="G67" i="10"/>
  <c r="G43" i="10"/>
  <c r="F43" i="10"/>
  <c r="F67" i="10"/>
  <c r="E67" i="10"/>
  <c r="E43" i="10"/>
  <c r="E60" i="10"/>
  <c r="E39" i="10" s="1"/>
  <c r="E38" i="10"/>
  <c r="J2" i="12"/>
  <c r="D93" i="10"/>
  <c r="D94" i="10" s="1"/>
  <c r="F93" i="10"/>
  <c r="F94" i="10" s="1"/>
  <c r="J10" i="12"/>
  <c r="J2" i="11"/>
  <c r="J9" i="12"/>
  <c r="E93" i="10"/>
  <c r="E94" i="10" s="1"/>
  <c r="E122" i="10" l="1"/>
  <c r="D121" i="10"/>
  <c r="D122" i="10"/>
  <c r="E121" i="10"/>
  <c r="G121" i="10"/>
  <c r="F121" i="10"/>
  <c r="F122" i="10"/>
  <c r="G122" i="10"/>
  <c r="G93" i="10"/>
  <c r="G94" i="10" s="1"/>
  <c r="B2" i="6"/>
  <c r="A2" i="6" s="1"/>
  <c r="B3" i="6"/>
  <c r="A3" i="6" s="1"/>
  <c r="B4" i="6"/>
  <c r="A4" i="6" s="1"/>
  <c r="B5" i="6"/>
  <c r="B6" i="6"/>
  <c r="B7" i="6"/>
  <c r="A7" i="6" s="1"/>
  <c r="B8" i="6"/>
  <c r="A8" i="6" s="1"/>
  <c r="B9" i="6"/>
  <c r="A9" i="6" s="1"/>
  <c r="B10" i="6"/>
  <c r="B11" i="6"/>
  <c r="A11" i="6" s="1"/>
  <c r="B12" i="6"/>
  <c r="A12" i="6" s="1"/>
  <c r="B13" i="6"/>
  <c r="B14" i="6"/>
  <c r="B15" i="6"/>
  <c r="B16" i="6"/>
  <c r="A16" i="6" s="1"/>
  <c r="B17" i="6"/>
  <c r="B18" i="6"/>
  <c r="A18" i="6" s="1"/>
  <c r="B19" i="6"/>
  <c r="A19" i="6" s="1"/>
  <c r="B20" i="6"/>
  <c r="A20" i="6" s="1"/>
  <c r="B21" i="6"/>
  <c r="A21" i="6" s="1"/>
  <c r="B22" i="6"/>
  <c r="B23" i="6"/>
  <c r="B24" i="6"/>
  <c r="A24" i="6" s="1"/>
  <c r="B25" i="6"/>
  <c r="B26" i="6"/>
  <c r="B27" i="6"/>
  <c r="A27" i="6" s="1"/>
  <c r="B28" i="6"/>
  <c r="A28" i="6" s="1"/>
  <c r="B29" i="6"/>
  <c r="A29" i="6" s="1"/>
  <c r="B30" i="6"/>
  <c r="B31" i="6"/>
  <c r="B32" i="6"/>
  <c r="B33" i="6"/>
  <c r="B34" i="6"/>
  <c r="B35" i="6"/>
  <c r="B36" i="6"/>
  <c r="B37" i="6"/>
  <c r="B38" i="6"/>
  <c r="B39" i="6"/>
  <c r="B40" i="6"/>
  <c r="B41" i="6"/>
  <c r="A41" i="6" s="1"/>
  <c r="B42" i="6"/>
  <c r="B43" i="6"/>
  <c r="B44" i="6"/>
  <c r="A44" i="6" s="1"/>
  <c r="B45" i="6"/>
  <c r="B46" i="6"/>
  <c r="B47" i="6"/>
  <c r="A47" i="6" s="1"/>
  <c r="B48" i="6"/>
  <c r="A48" i="6" s="1"/>
  <c r="B49" i="6"/>
  <c r="A49" i="6" s="1"/>
  <c r="B50" i="6"/>
  <c r="B51" i="6"/>
  <c r="B52" i="6"/>
  <c r="B53" i="6"/>
  <c r="B54" i="6"/>
  <c r="B55" i="6"/>
  <c r="B56" i="6"/>
  <c r="B57" i="6"/>
  <c r="B58" i="6"/>
  <c r="B59" i="6"/>
  <c r="B60" i="6"/>
  <c r="B61" i="6"/>
  <c r="A61" i="6" s="1"/>
  <c r="B62" i="6"/>
  <c r="B63" i="6"/>
  <c r="B64" i="6"/>
  <c r="A64" i="6" s="1"/>
  <c r="B65" i="6"/>
  <c r="B66" i="6"/>
  <c r="B67" i="6"/>
  <c r="A67" i="6" s="1"/>
  <c r="B68" i="6"/>
  <c r="A68" i="6" s="1"/>
  <c r="B69" i="6"/>
  <c r="A69" i="6" s="1"/>
  <c r="B70" i="6"/>
  <c r="B71" i="6"/>
  <c r="B72" i="6"/>
  <c r="B73" i="6"/>
  <c r="B74" i="6"/>
  <c r="B75" i="6"/>
  <c r="B76" i="6"/>
  <c r="B77" i="6"/>
  <c r="B78" i="6"/>
  <c r="A78" i="6" s="1"/>
  <c r="B79" i="6"/>
  <c r="A79" i="6" s="1"/>
  <c r="B80" i="6"/>
  <c r="B81" i="6"/>
  <c r="B82" i="6"/>
  <c r="B83" i="6"/>
  <c r="B84" i="6"/>
  <c r="B85" i="6"/>
  <c r="B86" i="6"/>
  <c r="B87" i="6"/>
  <c r="A87" i="6" s="1"/>
  <c r="B88" i="6"/>
  <c r="A88" i="6" s="1"/>
  <c r="B89" i="6"/>
  <c r="A89" i="6" s="1"/>
  <c r="B90" i="6"/>
  <c r="B91" i="6"/>
  <c r="B92" i="6"/>
  <c r="B93" i="6"/>
  <c r="B94" i="6"/>
  <c r="B95" i="6"/>
  <c r="B96" i="6"/>
  <c r="B97" i="6"/>
  <c r="B98" i="6"/>
  <c r="A98" i="6" s="1"/>
  <c r="B99" i="6"/>
  <c r="A99" i="6" s="1"/>
  <c r="B100" i="6"/>
  <c r="B101" i="6"/>
  <c r="B102" i="6"/>
  <c r="B103" i="6"/>
  <c r="B104" i="6"/>
  <c r="B105" i="6"/>
  <c r="B106" i="6"/>
  <c r="B107" i="6"/>
  <c r="A107" i="6" s="1"/>
  <c r="B108" i="6"/>
  <c r="A108" i="6" s="1"/>
  <c r="B109" i="6"/>
  <c r="A109" i="6" s="1"/>
  <c r="B110" i="6"/>
  <c r="B111" i="6"/>
  <c r="B112" i="6"/>
  <c r="B113" i="6"/>
  <c r="B114" i="6"/>
  <c r="B115" i="6"/>
  <c r="B116" i="6"/>
  <c r="B117" i="6"/>
  <c r="B118" i="6"/>
  <c r="A118" i="6" s="1"/>
  <c r="B119" i="6"/>
  <c r="A119" i="6" s="1"/>
  <c r="B120" i="6"/>
  <c r="B121" i="6"/>
  <c r="B122" i="6"/>
  <c r="B123" i="6"/>
  <c r="B124" i="6"/>
  <c r="B125" i="6"/>
  <c r="B126" i="6"/>
  <c r="B127" i="6"/>
  <c r="A127" i="6" s="1"/>
  <c r="B128" i="6"/>
  <c r="A128" i="6" s="1"/>
  <c r="B129" i="6"/>
  <c r="A129" i="6" s="1"/>
  <c r="B130" i="6"/>
  <c r="B131" i="6"/>
  <c r="B132" i="6"/>
  <c r="B133" i="6"/>
  <c r="B134" i="6"/>
  <c r="B135" i="6"/>
  <c r="B136" i="6"/>
  <c r="B137" i="6"/>
  <c r="B138" i="6"/>
  <c r="A138" i="6" s="1"/>
  <c r="B139" i="6"/>
  <c r="A139" i="6" s="1"/>
  <c r="B140" i="6"/>
  <c r="B141" i="6"/>
  <c r="B142" i="6"/>
  <c r="B143" i="6"/>
  <c r="B144" i="6"/>
  <c r="B145" i="6"/>
  <c r="B146" i="6"/>
  <c r="B147" i="6"/>
  <c r="A147" i="6" s="1"/>
  <c r="B148" i="6"/>
  <c r="A148" i="6" s="1"/>
  <c r="B149" i="6"/>
  <c r="A149" i="6" s="1"/>
  <c r="B150" i="6"/>
  <c r="B151" i="6"/>
  <c r="B152" i="6"/>
  <c r="B153" i="6"/>
  <c r="B154" i="6"/>
  <c r="B155" i="6"/>
  <c r="B156" i="6"/>
  <c r="B157" i="6"/>
  <c r="B158" i="6"/>
  <c r="A158" i="6" s="1"/>
  <c r="B159" i="6"/>
  <c r="A159" i="6" s="1"/>
  <c r="B160" i="6"/>
  <c r="A160" i="6" s="1"/>
  <c r="B161" i="6"/>
  <c r="B162" i="6"/>
  <c r="B163" i="6"/>
  <c r="B164" i="6"/>
  <c r="B165" i="6"/>
  <c r="B166" i="6"/>
  <c r="B167" i="6"/>
  <c r="A167" i="6" s="1"/>
  <c r="B168" i="6"/>
  <c r="A168" i="6" s="1"/>
  <c r="B169" i="6"/>
  <c r="A169" i="6" s="1"/>
  <c r="B170" i="6"/>
  <c r="B171" i="6"/>
  <c r="B172" i="6"/>
  <c r="B173" i="6"/>
  <c r="B174" i="6"/>
  <c r="B175" i="6"/>
  <c r="B176" i="6"/>
  <c r="B177" i="6"/>
  <c r="B178" i="6"/>
  <c r="A178" i="6" s="1"/>
  <c r="B179" i="6"/>
  <c r="A179" i="6" s="1"/>
  <c r="B180" i="6"/>
  <c r="B181" i="6"/>
  <c r="B182" i="6"/>
  <c r="B183" i="6"/>
  <c r="B184" i="6"/>
  <c r="B185" i="6"/>
  <c r="B186" i="6"/>
  <c r="B187" i="6"/>
  <c r="A187" i="6" s="1"/>
  <c r="B188" i="6"/>
  <c r="A188" i="6" s="1"/>
  <c r="B189" i="6"/>
  <c r="A189" i="6" s="1"/>
  <c r="B190" i="6"/>
  <c r="B191" i="6"/>
  <c r="B192" i="6"/>
  <c r="B193" i="6"/>
  <c r="B194" i="6"/>
  <c r="B195" i="6"/>
  <c r="B196" i="6"/>
  <c r="B197" i="6"/>
  <c r="B198" i="6"/>
  <c r="A198" i="6" s="1"/>
  <c r="B199" i="6"/>
  <c r="A199" i="6" s="1"/>
  <c r="B200" i="6"/>
  <c r="B201" i="6"/>
  <c r="B202" i="6"/>
  <c r="B203" i="6"/>
  <c r="B204" i="6"/>
  <c r="B205" i="6"/>
  <c r="B206" i="6"/>
  <c r="B207" i="6"/>
  <c r="A207" i="6" s="1"/>
  <c r="B208" i="6"/>
  <c r="A208" i="6" s="1"/>
  <c r="B209" i="6"/>
  <c r="A209" i="6" s="1"/>
  <c r="B210" i="6"/>
  <c r="B211" i="6"/>
  <c r="B212" i="6"/>
  <c r="B213" i="6"/>
  <c r="B214" i="6"/>
  <c r="B215" i="6"/>
  <c r="B216" i="6"/>
  <c r="B217" i="6"/>
  <c r="B218" i="6"/>
  <c r="A218" i="6" s="1"/>
  <c r="B219" i="6"/>
  <c r="A219" i="6" s="1"/>
  <c r="B220" i="6"/>
  <c r="B221" i="6"/>
  <c r="B222" i="6"/>
  <c r="B223" i="6"/>
  <c r="B224" i="6"/>
  <c r="B225" i="6"/>
  <c r="B226" i="6"/>
  <c r="B227" i="6"/>
  <c r="A227" i="6" s="1"/>
  <c r="B228" i="6"/>
  <c r="A228" i="6" s="1"/>
  <c r="B229" i="6"/>
  <c r="A229" i="6" s="1"/>
  <c r="B230" i="6"/>
  <c r="B231" i="6"/>
  <c r="B232" i="6"/>
  <c r="B233" i="6"/>
  <c r="B234" i="6"/>
  <c r="B235" i="6"/>
  <c r="B236" i="6"/>
  <c r="B237" i="6"/>
  <c r="B238" i="6"/>
  <c r="A238" i="6" s="1"/>
  <c r="B239" i="6"/>
  <c r="A239" i="6" s="1"/>
  <c r="B240" i="6"/>
  <c r="B241" i="6"/>
  <c r="B242" i="6"/>
  <c r="B243" i="6"/>
  <c r="B244" i="6"/>
  <c r="B245" i="6"/>
  <c r="B246" i="6"/>
  <c r="B247" i="6"/>
  <c r="A247" i="6" s="1"/>
  <c r="B248" i="6"/>
  <c r="A248" i="6" s="1"/>
  <c r="B249" i="6"/>
  <c r="A249" i="6" s="1"/>
  <c r="B250" i="6"/>
  <c r="B251" i="6"/>
  <c r="B252" i="6"/>
  <c r="B253" i="6"/>
  <c r="B254" i="6"/>
  <c r="B255" i="6"/>
  <c r="B256" i="6"/>
  <c r="B257" i="6"/>
  <c r="B258" i="6"/>
  <c r="A258" i="6" s="1"/>
  <c r="B259" i="6"/>
  <c r="A259" i="6" s="1"/>
  <c r="B260" i="6"/>
  <c r="B261" i="6"/>
  <c r="B262" i="6"/>
  <c r="B263" i="6"/>
  <c r="B264" i="6"/>
  <c r="B265" i="6"/>
  <c r="B266" i="6"/>
  <c r="B267" i="6"/>
  <c r="A267" i="6" s="1"/>
  <c r="B268" i="6"/>
  <c r="A268" i="6" s="1"/>
  <c r="B269" i="6"/>
  <c r="A269" i="6" s="1"/>
  <c r="B270" i="6"/>
  <c r="B271" i="6"/>
  <c r="B272" i="6"/>
  <c r="B273" i="6"/>
  <c r="B274" i="6"/>
  <c r="B275" i="6"/>
  <c r="B276" i="6"/>
  <c r="B277" i="6"/>
  <c r="B278" i="6"/>
  <c r="A278" i="6" s="1"/>
  <c r="B279" i="6"/>
  <c r="A279" i="6" s="1"/>
  <c r="B280" i="6"/>
  <c r="B281" i="6"/>
  <c r="B282" i="6"/>
  <c r="B283" i="6"/>
  <c r="B284" i="6"/>
  <c r="B285" i="6"/>
  <c r="B286" i="6"/>
  <c r="B287" i="6"/>
  <c r="A287" i="6" s="1"/>
  <c r="B288" i="6"/>
  <c r="A288" i="6" s="1"/>
  <c r="B289" i="6"/>
  <c r="A289" i="6" s="1"/>
  <c r="B290" i="6"/>
  <c r="B291" i="6"/>
  <c r="B292" i="6"/>
  <c r="B293" i="6"/>
  <c r="B294" i="6"/>
  <c r="B295" i="6"/>
  <c r="B296" i="6"/>
  <c r="B297" i="6"/>
  <c r="B298" i="6"/>
  <c r="A298" i="6" s="1"/>
  <c r="B299" i="6"/>
  <c r="A299" i="6" s="1"/>
  <c r="B300" i="6"/>
  <c r="B301" i="6"/>
  <c r="B302" i="6"/>
  <c r="B303" i="6"/>
  <c r="B304" i="6"/>
  <c r="B305" i="6"/>
  <c r="B306" i="6"/>
  <c r="B307" i="6"/>
  <c r="A307" i="6" s="1"/>
  <c r="B308" i="6"/>
  <c r="A308" i="6" s="1"/>
  <c r="B309" i="6"/>
  <c r="A309" i="6" s="1"/>
  <c r="B310" i="6"/>
  <c r="B311" i="6"/>
  <c r="B312" i="6"/>
  <c r="B313" i="6"/>
  <c r="B314" i="6"/>
  <c r="B315" i="6"/>
  <c r="B316" i="6"/>
  <c r="B317" i="6"/>
  <c r="B318" i="6"/>
  <c r="A318" i="6" s="1"/>
  <c r="B319" i="6"/>
  <c r="A319" i="6" s="1"/>
  <c r="B320" i="6"/>
  <c r="B321" i="6"/>
  <c r="B322" i="6"/>
  <c r="B323" i="6"/>
  <c r="B324" i="6"/>
  <c r="B325" i="6"/>
  <c r="B326" i="6"/>
  <c r="B327" i="6"/>
  <c r="A327" i="6" s="1"/>
  <c r="B328" i="6"/>
  <c r="A328" i="6" s="1"/>
  <c r="B329" i="6"/>
  <c r="A329" i="6" s="1"/>
  <c r="B330" i="6"/>
  <c r="B331" i="6"/>
  <c r="B332" i="6"/>
  <c r="B333" i="6"/>
  <c r="B334" i="6"/>
  <c r="B335" i="6"/>
  <c r="B336" i="6"/>
  <c r="B337" i="6"/>
  <c r="B338" i="6"/>
  <c r="A338" i="6" s="1"/>
  <c r="B339" i="6"/>
  <c r="A339" i="6" s="1"/>
  <c r="B340" i="6"/>
  <c r="B341" i="6"/>
  <c r="B342" i="6"/>
  <c r="B343" i="6"/>
  <c r="B344" i="6"/>
  <c r="B345" i="6"/>
  <c r="B346" i="6"/>
  <c r="B347" i="6"/>
  <c r="A347" i="6" s="1"/>
  <c r="B348" i="6"/>
  <c r="A348" i="6" s="1"/>
  <c r="B349" i="6"/>
  <c r="A349" i="6" s="1"/>
  <c r="B350" i="6"/>
  <c r="B351" i="6"/>
  <c r="B352" i="6"/>
  <c r="B353" i="6"/>
  <c r="B354" i="6"/>
  <c r="B355" i="6"/>
  <c r="B356" i="6"/>
  <c r="B357" i="6"/>
  <c r="B358" i="6"/>
  <c r="A358" i="6" s="1"/>
  <c r="B359" i="6"/>
  <c r="A359" i="6" s="1"/>
  <c r="B360" i="6"/>
  <c r="B361" i="6"/>
  <c r="B362" i="6"/>
  <c r="B363" i="6"/>
  <c r="B364" i="6"/>
  <c r="B365" i="6"/>
  <c r="B366" i="6"/>
  <c r="B367" i="6"/>
  <c r="A367" i="6" s="1"/>
  <c r="B368" i="6"/>
  <c r="A368" i="6" s="1"/>
  <c r="B369" i="6"/>
  <c r="A369" i="6" s="1"/>
  <c r="B370" i="6"/>
  <c r="B371" i="6"/>
  <c r="B372" i="6"/>
  <c r="B373" i="6"/>
  <c r="B374" i="6"/>
  <c r="B375" i="6"/>
  <c r="B376" i="6"/>
  <c r="B377" i="6"/>
  <c r="B378" i="6"/>
  <c r="A378" i="6" s="1"/>
  <c r="B379" i="6"/>
  <c r="A379" i="6" s="1"/>
  <c r="B380" i="6"/>
  <c r="B381" i="6"/>
  <c r="B382" i="6"/>
  <c r="B383" i="6"/>
  <c r="B384" i="6"/>
  <c r="B385" i="6"/>
  <c r="B386" i="6"/>
  <c r="B387" i="6"/>
  <c r="A387" i="6" s="1"/>
  <c r="B388" i="6"/>
  <c r="A388" i="6" s="1"/>
  <c r="B389" i="6"/>
  <c r="A389" i="6" s="1"/>
  <c r="B390" i="6"/>
  <c r="B391" i="6"/>
  <c r="B392" i="6"/>
  <c r="B393" i="6"/>
  <c r="B394" i="6"/>
  <c r="B395" i="6"/>
  <c r="B396" i="6"/>
  <c r="B397" i="6"/>
  <c r="B398" i="6"/>
  <c r="A398" i="6" s="1"/>
  <c r="B399" i="6"/>
  <c r="A399" i="6" s="1"/>
  <c r="B400" i="6"/>
  <c r="B401" i="6"/>
  <c r="B402" i="6"/>
  <c r="B403" i="6"/>
  <c r="B404" i="6"/>
  <c r="B405" i="6"/>
  <c r="B406" i="6"/>
  <c r="B407" i="6"/>
  <c r="A407" i="6" s="1"/>
  <c r="B408" i="6"/>
  <c r="A408" i="6" s="1"/>
  <c r="B409" i="6"/>
  <c r="A409" i="6" s="1"/>
  <c r="B410" i="6"/>
  <c r="B411" i="6"/>
  <c r="B412" i="6"/>
  <c r="B413" i="6"/>
  <c r="B414" i="6"/>
  <c r="B415" i="6"/>
  <c r="B416" i="6"/>
  <c r="B417" i="6"/>
  <c r="B418" i="6"/>
  <c r="A418" i="6" s="1"/>
  <c r="B419" i="6"/>
  <c r="A419" i="6" s="1"/>
  <c r="B420" i="6"/>
  <c r="B421" i="6"/>
  <c r="B422" i="6"/>
  <c r="B423" i="6"/>
  <c r="B424" i="6"/>
  <c r="B425" i="6"/>
  <c r="B426" i="6"/>
  <c r="B427" i="6"/>
  <c r="A427" i="6" s="1"/>
  <c r="B428" i="6"/>
  <c r="A428" i="6" s="1"/>
  <c r="B429" i="6"/>
  <c r="A429" i="6" s="1"/>
  <c r="B430" i="6"/>
  <c r="B431" i="6"/>
  <c r="B432" i="6"/>
  <c r="B433" i="6"/>
  <c r="B434" i="6"/>
  <c r="B435" i="6"/>
  <c r="B436" i="6"/>
  <c r="B437" i="6"/>
  <c r="B438" i="6"/>
  <c r="A438" i="6" s="1"/>
  <c r="B439" i="6"/>
  <c r="A439" i="6" s="1"/>
  <c r="B440" i="6"/>
  <c r="B441" i="6"/>
  <c r="B442" i="6"/>
  <c r="B443" i="6"/>
  <c r="B444" i="6"/>
  <c r="B445" i="6"/>
  <c r="B446" i="6"/>
  <c r="B447" i="6"/>
  <c r="A447" i="6" s="1"/>
  <c r="B448" i="6"/>
  <c r="A448" i="6" s="1"/>
  <c r="B449" i="6"/>
  <c r="A449" i="6" s="1"/>
  <c r="B450" i="6"/>
  <c r="B451" i="6"/>
  <c r="B452" i="6"/>
  <c r="B453" i="6"/>
  <c r="B454" i="6"/>
  <c r="B455" i="6"/>
  <c r="B456" i="6"/>
  <c r="B457" i="6"/>
  <c r="B458" i="6"/>
  <c r="A458" i="6" s="1"/>
  <c r="B459" i="6"/>
  <c r="A459" i="6" s="1"/>
  <c r="B460" i="6"/>
  <c r="B461" i="6"/>
  <c r="B462" i="6"/>
  <c r="B463" i="6"/>
  <c r="B464" i="6"/>
  <c r="B465" i="6"/>
  <c r="B466" i="6"/>
  <c r="B467" i="6"/>
  <c r="A467" i="6" s="1"/>
  <c r="B468" i="6"/>
  <c r="A468" i="6" s="1"/>
  <c r="B469" i="6"/>
  <c r="A469" i="6" s="1"/>
  <c r="B470" i="6"/>
  <c r="B471" i="6"/>
  <c r="B472" i="6"/>
  <c r="B473" i="6"/>
  <c r="B474" i="6"/>
  <c r="B475" i="6"/>
  <c r="B476" i="6"/>
  <c r="B477" i="6"/>
  <c r="B478" i="6"/>
  <c r="A478" i="6" s="1"/>
  <c r="B479" i="6"/>
  <c r="A479" i="6" s="1"/>
  <c r="B480" i="6"/>
  <c r="B481" i="6"/>
  <c r="B482" i="6"/>
  <c r="B483" i="6"/>
  <c r="B484" i="6"/>
  <c r="B485" i="6"/>
  <c r="B486" i="6"/>
  <c r="B487" i="6"/>
  <c r="A487" i="6" s="1"/>
  <c r="B488" i="6"/>
  <c r="A488" i="6" s="1"/>
  <c r="B489" i="6"/>
  <c r="A489" i="6" s="1"/>
  <c r="B490" i="6"/>
  <c r="B491" i="6"/>
  <c r="B492" i="6"/>
  <c r="B493" i="6"/>
  <c r="B494" i="6"/>
  <c r="B495" i="6"/>
  <c r="B496" i="6"/>
  <c r="B497" i="6"/>
  <c r="B498" i="6"/>
  <c r="A498" i="6" s="1"/>
  <c r="B499" i="6"/>
  <c r="A499" i="6" s="1"/>
  <c r="B500" i="6"/>
  <c r="B501" i="6"/>
  <c r="B502" i="6"/>
  <c r="B503" i="6"/>
  <c r="B504" i="6"/>
  <c r="B505" i="6"/>
  <c r="B506" i="6"/>
  <c r="B507" i="6"/>
  <c r="A507" i="6" s="1"/>
  <c r="B508" i="6"/>
  <c r="A508" i="6" s="1"/>
  <c r="B509" i="6"/>
  <c r="A509" i="6" s="1"/>
  <c r="B510" i="6"/>
  <c r="B511" i="6"/>
  <c r="B512" i="6"/>
  <c r="B513" i="6"/>
  <c r="B514" i="6"/>
  <c r="B515" i="6"/>
  <c r="B516" i="6"/>
  <c r="B517" i="6"/>
  <c r="B518" i="6"/>
  <c r="A518" i="6" s="1"/>
  <c r="B519" i="6"/>
  <c r="A519" i="6" s="1"/>
  <c r="B520" i="6"/>
  <c r="B521" i="6"/>
  <c r="B522" i="6"/>
  <c r="B523" i="6"/>
  <c r="B524" i="6"/>
  <c r="B525" i="6"/>
  <c r="B526" i="6"/>
  <c r="B527" i="6"/>
  <c r="A527" i="6" s="1"/>
  <c r="B528" i="6"/>
  <c r="A528" i="6" s="1"/>
  <c r="B529" i="6"/>
  <c r="A529" i="6" s="1"/>
  <c r="B530" i="6"/>
  <c r="B531" i="6"/>
  <c r="B532" i="6"/>
  <c r="B533" i="6"/>
  <c r="B534" i="6"/>
  <c r="B535" i="6"/>
  <c r="B536" i="6"/>
  <c r="B537" i="6"/>
  <c r="B538" i="6"/>
  <c r="A538" i="6" s="1"/>
  <c r="B539" i="6"/>
  <c r="A539" i="6" s="1"/>
  <c r="B540" i="6"/>
  <c r="B541" i="6"/>
  <c r="B542" i="6"/>
  <c r="B543" i="6"/>
  <c r="B544" i="6"/>
  <c r="B545" i="6"/>
  <c r="B546" i="6"/>
  <c r="B547" i="6"/>
  <c r="A547" i="6" s="1"/>
  <c r="B548" i="6"/>
  <c r="A548" i="6" s="1"/>
  <c r="B549" i="6"/>
  <c r="A549" i="6" s="1"/>
  <c r="B550" i="6"/>
  <c r="B551" i="6"/>
  <c r="B552" i="6"/>
  <c r="B553" i="6"/>
  <c r="B554" i="6"/>
  <c r="B555" i="6"/>
  <c r="B556" i="6"/>
  <c r="B557" i="6"/>
  <c r="B558" i="6"/>
  <c r="A558" i="6" s="1"/>
  <c r="B559" i="6"/>
  <c r="A559" i="6" s="1"/>
  <c r="B560" i="6"/>
  <c r="B561" i="6"/>
  <c r="B562" i="6"/>
  <c r="B563" i="6"/>
  <c r="B564" i="6"/>
  <c r="B565" i="6"/>
  <c r="B566" i="6"/>
  <c r="B567" i="6"/>
  <c r="A567" i="6" s="1"/>
  <c r="B568" i="6"/>
  <c r="A568" i="6" s="1"/>
  <c r="B569" i="6"/>
  <c r="A569" i="6" s="1"/>
  <c r="B570" i="6"/>
  <c r="B571" i="6"/>
  <c r="B572" i="6"/>
  <c r="B573" i="6"/>
  <c r="B574" i="6"/>
  <c r="B575" i="6"/>
  <c r="B576" i="6"/>
  <c r="B577" i="6"/>
  <c r="B578" i="6"/>
  <c r="A578" i="6" s="1"/>
  <c r="B579" i="6"/>
  <c r="A579" i="6" s="1"/>
  <c r="B580" i="6"/>
  <c r="B581" i="6"/>
  <c r="B582" i="6"/>
  <c r="B583" i="6"/>
  <c r="B584" i="6"/>
  <c r="B585" i="6"/>
  <c r="B586" i="6"/>
  <c r="B587" i="6"/>
  <c r="A587" i="6" s="1"/>
  <c r="B588" i="6"/>
  <c r="A588" i="6" s="1"/>
  <c r="B589" i="6"/>
  <c r="A589" i="6" s="1"/>
  <c r="B590" i="6"/>
  <c r="B591" i="6"/>
  <c r="B592" i="6"/>
  <c r="B593" i="6"/>
  <c r="B594" i="6"/>
  <c r="B595" i="6"/>
  <c r="B596" i="6"/>
  <c r="B597" i="6"/>
  <c r="B598" i="6"/>
  <c r="A598" i="6" s="1"/>
  <c r="B599" i="6"/>
  <c r="A599" i="6" s="1"/>
  <c r="B600" i="6"/>
  <c r="B601" i="6"/>
  <c r="B602" i="6"/>
  <c r="B603" i="6"/>
  <c r="B604" i="6"/>
  <c r="B605" i="6"/>
  <c r="B606" i="6"/>
  <c r="B607" i="6"/>
  <c r="A607" i="6" s="1"/>
  <c r="B608" i="6"/>
  <c r="A608" i="6" s="1"/>
  <c r="B609" i="6"/>
  <c r="A609" i="6" s="1"/>
  <c r="B610" i="6"/>
  <c r="B611" i="6"/>
  <c r="B612" i="6"/>
  <c r="B613" i="6"/>
  <c r="B614" i="6"/>
  <c r="B615" i="6"/>
  <c r="B616" i="6"/>
  <c r="B617" i="6"/>
  <c r="B618" i="6"/>
  <c r="A618" i="6" s="1"/>
  <c r="B619" i="6"/>
  <c r="A619" i="6" s="1"/>
  <c r="B620" i="6"/>
  <c r="B621" i="6"/>
  <c r="B622" i="6"/>
  <c r="B623" i="6"/>
  <c r="B624" i="6"/>
  <c r="B625" i="6"/>
  <c r="B626" i="6"/>
  <c r="B627" i="6"/>
  <c r="A627" i="6" s="1"/>
  <c r="B628" i="6"/>
  <c r="A628" i="6" s="1"/>
  <c r="B629" i="6"/>
  <c r="A629" i="6" s="1"/>
  <c r="B630" i="6"/>
  <c r="B631" i="6"/>
  <c r="B632" i="6"/>
  <c r="B633" i="6"/>
  <c r="B634" i="6"/>
  <c r="B635" i="6"/>
  <c r="B636" i="6"/>
  <c r="B637" i="6"/>
  <c r="B638" i="6"/>
  <c r="A638" i="6" s="1"/>
  <c r="B639" i="6"/>
  <c r="A639" i="6" s="1"/>
  <c r="B640" i="6"/>
  <c r="B641" i="6"/>
  <c r="B642" i="6"/>
  <c r="B643" i="6"/>
  <c r="B644" i="6"/>
  <c r="B645" i="6"/>
  <c r="B646" i="6"/>
  <c r="B647" i="6"/>
  <c r="A647" i="6" s="1"/>
  <c r="B648" i="6"/>
  <c r="A648" i="6" s="1"/>
  <c r="B649" i="6"/>
  <c r="A649" i="6" s="1"/>
  <c r="B650" i="6"/>
  <c r="B651" i="6"/>
  <c r="B652" i="6"/>
  <c r="B653" i="6"/>
  <c r="B654" i="6"/>
  <c r="B655" i="6"/>
  <c r="B656" i="6"/>
  <c r="B657" i="6"/>
  <c r="B658" i="6"/>
  <c r="A658" i="6" s="1"/>
  <c r="B659" i="6"/>
  <c r="A659" i="6" s="1"/>
  <c r="B660" i="6"/>
  <c r="B661" i="6"/>
  <c r="B662" i="6"/>
  <c r="B663" i="6"/>
  <c r="B664" i="6"/>
  <c r="B665" i="6"/>
  <c r="B666" i="6"/>
  <c r="B667" i="6"/>
  <c r="A667" i="6" s="1"/>
  <c r="B668" i="6"/>
  <c r="A668" i="6" s="1"/>
  <c r="B669" i="6"/>
  <c r="A669" i="6" s="1"/>
  <c r="B670" i="6"/>
  <c r="B671" i="6"/>
  <c r="B672" i="6"/>
  <c r="B673" i="6"/>
  <c r="B674" i="6"/>
  <c r="B675" i="6"/>
  <c r="B676" i="6"/>
  <c r="B677" i="6"/>
  <c r="B678" i="6"/>
  <c r="A678" i="6" s="1"/>
  <c r="B679" i="6"/>
  <c r="A679" i="6" s="1"/>
  <c r="B680" i="6"/>
  <c r="B681" i="6"/>
  <c r="B682" i="6"/>
  <c r="B683" i="6"/>
  <c r="B684" i="6"/>
  <c r="B685" i="6"/>
  <c r="B686" i="6"/>
  <c r="B687" i="6"/>
  <c r="A687" i="6" s="1"/>
  <c r="B688" i="6"/>
  <c r="A688" i="6" s="1"/>
  <c r="B689" i="6"/>
  <c r="A689" i="6" s="1"/>
  <c r="B690" i="6"/>
  <c r="B691" i="6"/>
  <c r="B692" i="6"/>
  <c r="B693" i="6"/>
  <c r="B694" i="6"/>
  <c r="B695" i="6"/>
  <c r="B696" i="6"/>
  <c r="B697" i="6"/>
  <c r="B698" i="6"/>
  <c r="A698" i="6" s="1"/>
  <c r="B699" i="6"/>
  <c r="A699" i="6" s="1"/>
  <c r="B700" i="6"/>
  <c r="B701" i="6"/>
  <c r="B702" i="6"/>
  <c r="B703" i="6"/>
  <c r="B704" i="6"/>
  <c r="B705" i="6"/>
  <c r="B706" i="6"/>
  <c r="B707" i="6"/>
  <c r="A707" i="6" s="1"/>
  <c r="B708" i="6"/>
  <c r="A708" i="6" s="1"/>
  <c r="B709" i="6"/>
  <c r="A709" i="6" s="1"/>
  <c r="B710" i="6"/>
  <c r="B711" i="6"/>
  <c r="B712" i="6"/>
  <c r="B713" i="6"/>
  <c r="B714" i="6"/>
  <c r="B715" i="6"/>
  <c r="B716" i="6"/>
  <c r="B717" i="6"/>
  <c r="B718" i="6"/>
  <c r="A718" i="6" s="1"/>
  <c r="B719" i="6"/>
  <c r="A719" i="6" s="1"/>
  <c r="B720" i="6"/>
  <c r="B721" i="6"/>
  <c r="B722" i="6"/>
  <c r="B723" i="6"/>
  <c r="B724" i="6"/>
  <c r="B725" i="6"/>
  <c r="B726" i="6"/>
  <c r="B727" i="6"/>
  <c r="A727" i="6" s="1"/>
  <c r="B728" i="6"/>
  <c r="A728" i="6" s="1"/>
  <c r="B729" i="6"/>
  <c r="A729" i="6" s="1"/>
  <c r="B730" i="6"/>
  <c r="B731" i="6"/>
  <c r="B732" i="6"/>
  <c r="B733" i="6"/>
  <c r="B734" i="6"/>
  <c r="B735" i="6"/>
  <c r="B736" i="6"/>
  <c r="B737" i="6"/>
  <c r="B738" i="6"/>
  <c r="A738" i="6" s="1"/>
  <c r="B739" i="6"/>
  <c r="A739" i="6" s="1"/>
  <c r="B740" i="6"/>
  <c r="B741" i="6"/>
  <c r="B742" i="6"/>
  <c r="B743" i="6"/>
  <c r="B744" i="6"/>
  <c r="B745" i="6"/>
  <c r="B746" i="6"/>
  <c r="B747" i="6"/>
  <c r="A747" i="6" s="1"/>
  <c r="B748" i="6"/>
  <c r="A748" i="6" s="1"/>
  <c r="B749" i="6"/>
  <c r="A749" i="6" s="1"/>
  <c r="B750" i="6"/>
  <c r="B751" i="6"/>
  <c r="B752" i="6"/>
  <c r="B753" i="6"/>
  <c r="B754" i="6"/>
  <c r="B755" i="6"/>
  <c r="B756" i="6"/>
  <c r="B757" i="6"/>
  <c r="B758" i="6"/>
  <c r="A758" i="6" s="1"/>
  <c r="B759" i="6"/>
  <c r="A759" i="6" s="1"/>
  <c r="B760" i="6"/>
  <c r="B761" i="6"/>
  <c r="B762" i="6"/>
  <c r="B763" i="6"/>
  <c r="B764" i="6"/>
  <c r="B765" i="6"/>
  <c r="B766" i="6"/>
  <c r="B767" i="6"/>
  <c r="A767" i="6" s="1"/>
  <c r="B768" i="6"/>
  <c r="A768" i="6" s="1"/>
  <c r="B769" i="6"/>
  <c r="A769" i="6" s="1"/>
  <c r="B770" i="6"/>
  <c r="B771" i="6"/>
  <c r="B772" i="6"/>
  <c r="B773" i="6"/>
  <c r="B774" i="6"/>
  <c r="B775" i="6"/>
  <c r="B776" i="6"/>
  <c r="B777" i="6"/>
  <c r="B778" i="6"/>
  <c r="A778" i="6" s="1"/>
  <c r="B779" i="6"/>
  <c r="A779" i="6" s="1"/>
  <c r="B780" i="6"/>
  <c r="B781" i="6"/>
  <c r="B782" i="6"/>
  <c r="B783" i="6"/>
  <c r="B784" i="6"/>
  <c r="B785" i="6"/>
  <c r="B786" i="6"/>
  <c r="B787" i="6"/>
  <c r="A787" i="6" s="1"/>
  <c r="B788" i="6"/>
  <c r="A788" i="6" s="1"/>
  <c r="B789" i="6"/>
  <c r="A789" i="6" s="1"/>
  <c r="B790" i="6"/>
  <c r="B791" i="6"/>
  <c r="B792" i="6"/>
  <c r="B793" i="6"/>
  <c r="B794" i="6"/>
  <c r="B795" i="6"/>
  <c r="B796" i="6"/>
  <c r="B797" i="6"/>
  <c r="B798" i="6"/>
  <c r="A798" i="6" s="1"/>
  <c r="B799" i="6"/>
  <c r="A799" i="6" s="1"/>
  <c r="B800" i="6"/>
  <c r="B801" i="6"/>
  <c r="B802" i="6"/>
  <c r="B803" i="6"/>
  <c r="B804" i="6"/>
  <c r="B805" i="6"/>
  <c r="B806" i="6"/>
  <c r="B807" i="6"/>
  <c r="A807" i="6" s="1"/>
  <c r="B808" i="6"/>
  <c r="A808" i="6" s="1"/>
  <c r="B809" i="6"/>
  <c r="A809" i="6" s="1"/>
  <c r="B810" i="6"/>
  <c r="B811" i="6"/>
  <c r="B812" i="6"/>
  <c r="B813" i="6"/>
  <c r="B814" i="6"/>
  <c r="B815" i="6"/>
  <c r="B816" i="6"/>
  <c r="B817" i="6"/>
  <c r="B818" i="6"/>
  <c r="A818" i="6" s="1"/>
  <c r="B819" i="6"/>
  <c r="A819" i="6" s="1"/>
  <c r="B820" i="6"/>
  <c r="B821" i="6"/>
  <c r="B822" i="6"/>
  <c r="B823" i="6"/>
  <c r="B824" i="6"/>
  <c r="B825" i="6"/>
  <c r="B826" i="6"/>
  <c r="B827" i="6"/>
  <c r="A827" i="6" s="1"/>
  <c r="B828" i="6"/>
  <c r="A828" i="6" s="1"/>
  <c r="B829" i="6"/>
  <c r="A829" i="6" s="1"/>
  <c r="B830" i="6"/>
  <c r="B831" i="6"/>
  <c r="B832" i="6"/>
  <c r="B833" i="6"/>
  <c r="B834" i="6"/>
  <c r="B835" i="6"/>
  <c r="B836" i="6"/>
  <c r="B837" i="6"/>
  <c r="B838" i="6"/>
  <c r="A838" i="6" s="1"/>
  <c r="B839" i="6"/>
  <c r="A839" i="6" s="1"/>
  <c r="B840" i="6"/>
  <c r="B841" i="6"/>
  <c r="B842" i="6"/>
  <c r="B843" i="6"/>
  <c r="B844" i="6"/>
  <c r="B845" i="6"/>
  <c r="B846" i="6"/>
  <c r="B847" i="6"/>
  <c r="A847" i="6" s="1"/>
  <c r="B848" i="6"/>
  <c r="A848" i="6" s="1"/>
  <c r="B849" i="6"/>
  <c r="A849" i="6" s="1"/>
  <c r="B850" i="6"/>
  <c r="B851" i="6"/>
  <c r="B852" i="6"/>
  <c r="B853" i="6"/>
  <c r="B854" i="6"/>
  <c r="B855" i="6"/>
  <c r="B856" i="6"/>
  <c r="B857" i="6"/>
  <c r="B858" i="6"/>
  <c r="A858" i="6" s="1"/>
  <c r="B859" i="6"/>
  <c r="A859" i="6" s="1"/>
  <c r="B860" i="6"/>
  <c r="B861" i="6"/>
  <c r="B862" i="6"/>
  <c r="B863" i="6"/>
  <c r="B864" i="6"/>
  <c r="B865" i="6"/>
  <c r="B866" i="6"/>
  <c r="B867" i="6"/>
  <c r="A867" i="6" s="1"/>
  <c r="B868" i="6"/>
  <c r="A868" i="6" s="1"/>
  <c r="B869" i="6"/>
  <c r="A869" i="6" s="1"/>
  <c r="B870" i="6"/>
  <c r="B871" i="6"/>
  <c r="B872" i="6"/>
  <c r="B873" i="6"/>
  <c r="B874" i="6"/>
  <c r="B875" i="6"/>
  <c r="B876" i="6"/>
  <c r="B877" i="6"/>
  <c r="B878" i="6"/>
  <c r="A878" i="6" s="1"/>
  <c r="B879" i="6"/>
  <c r="A879" i="6" s="1"/>
  <c r="B880" i="6"/>
  <c r="B881" i="6"/>
  <c r="B882" i="6"/>
  <c r="B883" i="6"/>
  <c r="B884" i="6"/>
  <c r="B885" i="6"/>
  <c r="B886" i="6"/>
  <c r="B887" i="6"/>
  <c r="A887" i="6" s="1"/>
  <c r="B888" i="6"/>
  <c r="A888" i="6" s="1"/>
  <c r="B889" i="6"/>
  <c r="A889" i="6" s="1"/>
  <c r="B890" i="6"/>
  <c r="B891" i="6"/>
  <c r="B892" i="6"/>
  <c r="B893" i="6"/>
  <c r="B894" i="6"/>
  <c r="B895" i="6"/>
  <c r="B896" i="6"/>
  <c r="B897" i="6"/>
  <c r="B898" i="6"/>
  <c r="A898" i="6" s="1"/>
  <c r="B899" i="6"/>
  <c r="A899" i="6" s="1"/>
  <c r="B900" i="6"/>
  <c r="B901" i="6"/>
  <c r="B902" i="6"/>
  <c r="B903" i="6"/>
  <c r="B904" i="6"/>
  <c r="B905" i="6"/>
  <c r="B906" i="6"/>
  <c r="B907" i="6"/>
  <c r="A907" i="6" s="1"/>
  <c r="B908" i="6"/>
  <c r="A908" i="6" s="1"/>
  <c r="B909" i="6"/>
  <c r="A909" i="6" s="1"/>
  <c r="B910" i="6"/>
  <c r="B911" i="6"/>
  <c r="B912" i="6"/>
  <c r="B913" i="6"/>
  <c r="B914" i="6"/>
  <c r="B915" i="6"/>
  <c r="B916" i="6"/>
  <c r="B917" i="6"/>
  <c r="B918" i="6"/>
  <c r="A918" i="6" s="1"/>
  <c r="B919" i="6"/>
  <c r="A919" i="6" s="1"/>
  <c r="B920" i="6"/>
  <c r="B921" i="6"/>
  <c r="B922" i="6"/>
  <c r="B923" i="6"/>
  <c r="B924" i="6"/>
  <c r="B925" i="6"/>
  <c r="B926" i="6"/>
  <c r="B927" i="6"/>
  <c r="A927" i="6" s="1"/>
  <c r="B928" i="6"/>
  <c r="A928" i="6" s="1"/>
  <c r="B929" i="6"/>
  <c r="A929" i="6" s="1"/>
  <c r="B930" i="6"/>
  <c r="B931" i="6"/>
  <c r="B932" i="6"/>
  <c r="B933" i="6"/>
  <c r="B934" i="6"/>
  <c r="B935" i="6"/>
  <c r="B936" i="6"/>
  <c r="B937" i="6"/>
  <c r="B938" i="6"/>
  <c r="A938" i="6" s="1"/>
  <c r="B939" i="6"/>
  <c r="A939" i="6" s="1"/>
  <c r="B940" i="6"/>
  <c r="B941" i="6"/>
  <c r="B942" i="6"/>
  <c r="B943" i="6"/>
  <c r="B944" i="6"/>
  <c r="B945" i="6"/>
  <c r="B946" i="6"/>
  <c r="B947" i="6"/>
  <c r="A947" i="6" s="1"/>
  <c r="B948" i="6"/>
  <c r="A948" i="6" s="1"/>
  <c r="B949" i="6"/>
  <c r="A949" i="6" s="1"/>
  <c r="B950" i="6"/>
  <c r="B951" i="6"/>
  <c r="B952" i="6"/>
  <c r="B953" i="6"/>
  <c r="B954" i="6"/>
  <c r="B955" i="6"/>
  <c r="B956" i="6"/>
  <c r="B957" i="6"/>
  <c r="B958" i="6"/>
  <c r="A958" i="6" s="1"/>
  <c r="B959" i="6"/>
  <c r="A959" i="6" s="1"/>
  <c r="B960" i="6"/>
  <c r="B961" i="6"/>
  <c r="B962" i="6"/>
  <c r="B963" i="6"/>
  <c r="B964" i="6"/>
  <c r="B965" i="6"/>
  <c r="B966" i="6"/>
  <c r="B967" i="6"/>
  <c r="A967" i="6" s="1"/>
  <c r="B968" i="6"/>
  <c r="A968" i="6" s="1"/>
  <c r="B969" i="6"/>
  <c r="A969" i="6" s="1"/>
  <c r="B970" i="6"/>
  <c r="B971" i="6"/>
  <c r="B972" i="6"/>
  <c r="B973" i="6"/>
  <c r="B974" i="6"/>
  <c r="B975" i="6"/>
  <c r="B976" i="6"/>
  <c r="B977" i="6"/>
  <c r="B978" i="6"/>
  <c r="A978" i="6" s="1"/>
  <c r="B979" i="6"/>
  <c r="A979" i="6" s="1"/>
  <c r="B980" i="6"/>
  <c r="B981" i="6"/>
  <c r="B982" i="6"/>
  <c r="B983" i="6"/>
  <c r="B984" i="6"/>
  <c r="B985" i="6"/>
  <c r="B986" i="6"/>
  <c r="B987" i="6"/>
  <c r="A987" i="6" s="1"/>
  <c r="B988" i="6"/>
  <c r="A988" i="6" s="1"/>
  <c r="B989" i="6"/>
  <c r="A989" i="6" s="1"/>
  <c r="B990" i="6"/>
  <c r="B991" i="6"/>
  <c r="B992" i="6"/>
  <c r="B993" i="6"/>
  <c r="B994" i="6"/>
  <c r="B995" i="6"/>
  <c r="B996" i="6"/>
  <c r="B997" i="6"/>
  <c r="B998" i="6"/>
  <c r="A998" i="6" s="1"/>
  <c r="B999" i="6"/>
  <c r="A999" i="6" s="1"/>
  <c r="B1000" i="6"/>
  <c r="B1" i="6"/>
  <c r="A5" i="6"/>
  <c r="A6" i="6"/>
  <c r="A10" i="6"/>
  <c r="A13" i="6"/>
  <c r="A14" i="6"/>
  <c r="A15" i="6"/>
  <c r="A17" i="6"/>
  <c r="A22" i="6"/>
  <c r="A23" i="6"/>
  <c r="A25" i="6"/>
  <c r="A26" i="6"/>
  <c r="A30" i="6"/>
  <c r="A31" i="6"/>
  <c r="A32" i="6"/>
  <c r="A33" i="6"/>
  <c r="A34" i="6"/>
  <c r="A35" i="6"/>
  <c r="A36" i="6"/>
  <c r="A37" i="6"/>
  <c r="A38" i="6"/>
  <c r="A39" i="6"/>
  <c r="A40" i="6"/>
  <c r="A42" i="6"/>
  <c r="A43" i="6"/>
  <c r="A45" i="6"/>
  <c r="A46" i="6"/>
  <c r="A50" i="6"/>
  <c r="A51" i="6"/>
  <c r="A52" i="6"/>
  <c r="A53" i="6"/>
  <c r="A54" i="6"/>
  <c r="A55" i="6"/>
  <c r="A56" i="6"/>
  <c r="A57" i="6"/>
  <c r="A58" i="6"/>
  <c r="A59" i="6"/>
  <c r="A60" i="6"/>
  <c r="A62" i="6"/>
  <c r="A63" i="6"/>
  <c r="A65" i="6"/>
  <c r="A66" i="6"/>
  <c r="A70" i="6"/>
  <c r="A71" i="6"/>
  <c r="A72" i="6"/>
  <c r="A73" i="6"/>
  <c r="A74" i="6"/>
  <c r="A75" i="6"/>
  <c r="A76" i="6"/>
  <c r="A77" i="6"/>
  <c r="A80" i="6"/>
  <c r="A81" i="6"/>
  <c r="A82" i="6"/>
  <c r="A83" i="6"/>
  <c r="A84" i="6"/>
  <c r="A85" i="6"/>
  <c r="A86" i="6"/>
  <c r="A90" i="6"/>
  <c r="A91" i="6"/>
  <c r="A92" i="6"/>
  <c r="A93" i="6"/>
  <c r="A94" i="6"/>
  <c r="A95" i="6"/>
  <c r="A96" i="6"/>
  <c r="A97" i="6"/>
  <c r="A100" i="6"/>
  <c r="A101" i="6"/>
  <c r="A102" i="6"/>
  <c r="A103" i="6"/>
  <c r="A104" i="6"/>
  <c r="A105" i="6"/>
  <c r="A106" i="6"/>
  <c r="A110" i="6"/>
  <c r="A111" i="6"/>
  <c r="A112" i="6"/>
  <c r="A113" i="6"/>
  <c r="A114" i="6"/>
  <c r="A115" i="6"/>
  <c r="A116" i="6"/>
  <c r="A117" i="6"/>
  <c r="A120" i="6"/>
  <c r="A121" i="6"/>
  <c r="A122" i="6"/>
  <c r="A123" i="6"/>
  <c r="A124" i="6"/>
  <c r="A125" i="6"/>
  <c r="A126" i="6"/>
  <c r="A130" i="6"/>
  <c r="A131" i="6"/>
  <c r="A132" i="6"/>
  <c r="A133" i="6"/>
  <c r="A134" i="6"/>
  <c r="A135" i="6"/>
  <c r="A136" i="6"/>
  <c r="A137" i="6"/>
  <c r="A140" i="6"/>
  <c r="A141" i="6"/>
  <c r="A142" i="6"/>
  <c r="A143" i="6"/>
  <c r="A144" i="6"/>
  <c r="A145" i="6"/>
  <c r="A146" i="6"/>
  <c r="A150" i="6"/>
  <c r="A151" i="6"/>
  <c r="A152" i="6"/>
  <c r="A153" i="6"/>
  <c r="A154" i="6"/>
  <c r="A155" i="6"/>
  <c r="A156" i="6"/>
  <c r="A157" i="6"/>
  <c r="A161" i="6"/>
  <c r="A162" i="6"/>
  <c r="A163" i="6"/>
  <c r="A164" i="6"/>
  <c r="A165" i="6"/>
  <c r="A166" i="6"/>
  <c r="A170" i="6"/>
  <c r="A171" i="6"/>
  <c r="A172" i="6"/>
  <c r="A173" i="6"/>
  <c r="A174" i="6"/>
  <c r="A175" i="6"/>
  <c r="A176" i="6"/>
  <c r="A177" i="6"/>
  <c r="A180" i="6"/>
  <c r="A181" i="6"/>
  <c r="A182" i="6"/>
  <c r="A183" i="6"/>
  <c r="A184" i="6"/>
  <c r="A185" i="6"/>
  <c r="A186" i="6"/>
  <c r="A190" i="6"/>
  <c r="A191" i="6"/>
  <c r="A192" i="6"/>
  <c r="A193" i="6"/>
  <c r="A194" i="6"/>
  <c r="A195" i="6"/>
  <c r="A196" i="6"/>
  <c r="A197" i="6"/>
  <c r="A200" i="6"/>
  <c r="A201" i="6"/>
  <c r="A202" i="6"/>
  <c r="A203" i="6"/>
  <c r="A204" i="6"/>
  <c r="A205" i="6"/>
  <c r="A206" i="6"/>
  <c r="A210" i="6"/>
  <c r="A211" i="6"/>
  <c r="A212" i="6"/>
  <c r="A213" i="6"/>
  <c r="A214" i="6"/>
  <c r="A215" i="6"/>
  <c r="A216" i="6"/>
  <c r="A217" i="6"/>
  <c r="A220" i="6"/>
  <c r="A221" i="6"/>
  <c r="A222" i="6"/>
  <c r="A223" i="6"/>
  <c r="A224" i="6"/>
  <c r="A225" i="6"/>
  <c r="A226" i="6"/>
  <c r="A230" i="6"/>
  <c r="A231" i="6"/>
  <c r="A232" i="6"/>
  <c r="A233" i="6"/>
  <c r="A234" i="6"/>
  <c r="A235" i="6"/>
  <c r="A236" i="6"/>
  <c r="A237" i="6"/>
  <c r="A240" i="6"/>
  <c r="A241" i="6"/>
  <c r="A242" i="6"/>
  <c r="A243" i="6"/>
  <c r="A244" i="6"/>
  <c r="A245" i="6"/>
  <c r="A246" i="6"/>
  <c r="A250" i="6"/>
  <c r="A251" i="6"/>
  <c r="A252" i="6"/>
  <c r="A253" i="6"/>
  <c r="A254" i="6"/>
  <c r="A255" i="6"/>
  <c r="A256" i="6"/>
  <c r="A257" i="6"/>
  <c r="A260" i="6"/>
  <c r="A261" i="6"/>
  <c r="A262" i="6"/>
  <c r="A263" i="6"/>
  <c r="A264" i="6"/>
  <c r="A265" i="6"/>
  <c r="A266" i="6"/>
  <c r="A270" i="6"/>
  <c r="A271" i="6"/>
  <c r="A272" i="6"/>
  <c r="A273" i="6"/>
  <c r="A274" i="6"/>
  <c r="A275" i="6"/>
  <c r="A276" i="6"/>
  <c r="A277" i="6"/>
  <c r="A280" i="6"/>
  <c r="A281" i="6"/>
  <c r="A282" i="6"/>
  <c r="A283" i="6"/>
  <c r="A284" i="6"/>
  <c r="A285" i="6"/>
  <c r="A286" i="6"/>
  <c r="A290" i="6"/>
  <c r="A291" i="6"/>
  <c r="A292" i="6"/>
  <c r="A293" i="6"/>
  <c r="A294" i="6"/>
  <c r="A295" i="6"/>
  <c r="A296" i="6"/>
  <c r="A297" i="6"/>
  <c r="A300" i="6"/>
  <c r="A301" i="6"/>
  <c r="A302" i="6"/>
  <c r="A303" i="6"/>
  <c r="A304" i="6"/>
  <c r="A305" i="6"/>
  <c r="A306" i="6"/>
  <c r="A310" i="6"/>
  <c r="A311" i="6"/>
  <c r="A312" i="6"/>
  <c r="A313" i="6"/>
  <c r="A314" i="6"/>
  <c r="A315" i="6"/>
  <c r="A316" i="6"/>
  <c r="A317" i="6"/>
  <c r="A320" i="6"/>
  <c r="A321" i="6"/>
  <c r="A322" i="6"/>
  <c r="A323" i="6"/>
  <c r="A324" i="6"/>
  <c r="A325" i="6"/>
  <c r="A326" i="6"/>
  <c r="A330" i="6"/>
  <c r="A331" i="6"/>
  <c r="A332" i="6"/>
  <c r="A333" i="6"/>
  <c r="A334" i="6"/>
  <c r="A335" i="6"/>
  <c r="A336" i="6"/>
  <c r="A337" i="6"/>
  <c r="A340" i="6"/>
  <c r="A341" i="6"/>
  <c r="A342" i="6"/>
  <c r="A343" i="6"/>
  <c r="A344" i="6"/>
  <c r="A345" i="6"/>
  <c r="A346" i="6"/>
  <c r="A350" i="6"/>
  <c r="A351" i="6"/>
  <c r="A352" i="6"/>
  <c r="A353" i="6"/>
  <c r="A354" i="6"/>
  <c r="A355" i="6"/>
  <c r="A356" i="6"/>
  <c r="A357" i="6"/>
  <c r="A360" i="6"/>
  <c r="A361" i="6"/>
  <c r="A362" i="6"/>
  <c r="A363" i="6"/>
  <c r="A364" i="6"/>
  <c r="A365" i="6"/>
  <c r="A366" i="6"/>
  <c r="A370" i="6"/>
  <c r="A371" i="6"/>
  <c r="A372" i="6"/>
  <c r="A373" i="6"/>
  <c r="A374" i="6"/>
  <c r="A375" i="6"/>
  <c r="A376" i="6"/>
  <c r="A377" i="6"/>
  <c r="A380" i="6"/>
  <c r="A381" i="6"/>
  <c r="A382" i="6"/>
  <c r="A383" i="6"/>
  <c r="A384" i="6"/>
  <c r="A385" i="6"/>
  <c r="A386" i="6"/>
  <c r="A390" i="6"/>
  <c r="A391" i="6"/>
  <c r="A392" i="6"/>
  <c r="A393" i="6"/>
  <c r="A394" i="6"/>
  <c r="A395" i="6"/>
  <c r="A396" i="6"/>
  <c r="A397" i="6"/>
  <c r="A400" i="6"/>
  <c r="A401" i="6"/>
  <c r="A402" i="6"/>
  <c r="A403" i="6"/>
  <c r="A404" i="6"/>
  <c r="A405" i="6"/>
  <c r="A406" i="6"/>
  <c r="A410" i="6"/>
  <c r="A411" i="6"/>
  <c r="A412" i="6"/>
  <c r="A413" i="6"/>
  <c r="A414" i="6"/>
  <c r="A415" i="6"/>
  <c r="A416" i="6"/>
  <c r="A417" i="6"/>
  <c r="A420" i="6"/>
  <c r="A421" i="6"/>
  <c r="A422" i="6"/>
  <c r="A423" i="6"/>
  <c r="A424" i="6"/>
  <c r="A425" i="6"/>
  <c r="A426" i="6"/>
  <c r="A430" i="6"/>
  <c r="A431" i="6"/>
  <c r="A432" i="6"/>
  <c r="A433" i="6"/>
  <c r="A434" i="6"/>
  <c r="A435" i="6"/>
  <c r="A436" i="6"/>
  <c r="A437" i="6"/>
  <c r="A440" i="6"/>
  <c r="A441" i="6"/>
  <c r="A442" i="6"/>
  <c r="A443" i="6"/>
  <c r="A444" i="6"/>
  <c r="A445" i="6"/>
  <c r="A446" i="6"/>
  <c r="A450" i="6"/>
  <c r="A451" i="6"/>
  <c r="A452" i="6"/>
  <c r="A453" i="6"/>
  <c r="A454" i="6"/>
  <c r="A455" i="6"/>
  <c r="A456" i="6"/>
  <c r="A457" i="6"/>
  <c r="A460" i="6"/>
  <c r="A461" i="6"/>
  <c r="A462" i="6"/>
  <c r="A463" i="6"/>
  <c r="A464" i="6"/>
  <c r="A465" i="6"/>
  <c r="A466" i="6"/>
  <c r="A470" i="6"/>
  <c r="A471" i="6"/>
  <c r="A472" i="6"/>
  <c r="A473" i="6"/>
  <c r="A474" i="6"/>
  <c r="A475" i="6"/>
  <c r="A476" i="6"/>
  <c r="A477" i="6"/>
  <c r="A480" i="6"/>
  <c r="A481" i="6"/>
  <c r="A482" i="6"/>
  <c r="A483" i="6"/>
  <c r="A484" i="6"/>
  <c r="A485" i="6"/>
  <c r="A486" i="6"/>
  <c r="A490" i="6"/>
  <c r="A491" i="6"/>
  <c r="A492" i="6"/>
  <c r="A493" i="6"/>
  <c r="A494" i="6"/>
  <c r="A495" i="6"/>
  <c r="A496" i="6"/>
  <c r="A497" i="6"/>
  <c r="A500" i="6"/>
  <c r="A501" i="6"/>
  <c r="A502" i="6"/>
  <c r="A503" i="6"/>
  <c r="A504" i="6"/>
  <c r="A505" i="6"/>
  <c r="A506" i="6"/>
  <c r="A510" i="6"/>
  <c r="A511" i="6"/>
  <c r="A512" i="6"/>
  <c r="A513" i="6"/>
  <c r="A514" i="6"/>
  <c r="A515" i="6"/>
  <c r="A516" i="6"/>
  <c r="A517" i="6"/>
  <c r="A520" i="6"/>
  <c r="A521" i="6"/>
  <c r="A522" i="6"/>
  <c r="A523" i="6"/>
  <c r="A524" i="6"/>
  <c r="A525" i="6"/>
  <c r="A526" i="6"/>
  <c r="A530" i="6"/>
  <c r="A531" i="6"/>
  <c r="A532" i="6"/>
  <c r="A533" i="6"/>
  <c r="A534" i="6"/>
  <c r="A535" i="6"/>
  <c r="A536" i="6"/>
  <c r="A537" i="6"/>
  <c r="A540" i="6"/>
  <c r="A541" i="6"/>
  <c r="A542" i="6"/>
  <c r="A543" i="6"/>
  <c r="A544" i="6"/>
  <c r="A545" i="6"/>
  <c r="A546" i="6"/>
  <c r="A550" i="6"/>
  <c r="A551" i="6"/>
  <c r="A552" i="6"/>
  <c r="A553" i="6"/>
  <c r="A554" i="6"/>
  <c r="A555" i="6"/>
  <c r="A556" i="6"/>
  <c r="A557" i="6"/>
  <c r="A560" i="6"/>
  <c r="A561" i="6"/>
  <c r="A562" i="6"/>
  <c r="A563" i="6"/>
  <c r="A564" i="6"/>
  <c r="A565" i="6"/>
  <c r="A566" i="6"/>
  <c r="A570" i="6"/>
  <c r="A571" i="6"/>
  <c r="A572" i="6"/>
  <c r="A573" i="6"/>
  <c r="A574" i="6"/>
  <c r="A575" i="6"/>
  <c r="A576" i="6"/>
  <c r="A577" i="6"/>
  <c r="A580" i="6"/>
  <c r="A581" i="6"/>
  <c r="A582" i="6"/>
  <c r="A583" i="6"/>
  <c r="A584" i="6"/>
  <c r="A585" i="6"/>
  <c r="A586" i="6"/>
  <c r="A590" i="6"/>
  <c r="A591" i="6"/>
  <c r="A592" i="6"/>
  <c r="A593" i="6"/>
  <c r="A594" i="6"/>
  <c r="A595" i="6"/>
  <c r="A596" i="6"/>
  <c r="A597" i="6"/>
  <c r="A600" i="6"/>
  <c r="A601" i="6"/>
  <c r="A602" i="6"/>
  <c r="A603" i="6"/>
  <c r="A604" i="6"/>
  <c r="A605" i="6"/>
  <c r="A606" i="6"/>
  <c r="A610" i="6"/>
  <c r="A611" i="6"/>
  <c r="A612" i="6"/>
  <c r="A613" i="6"/>
  <c r="A614" i="6"/>
  <c r="A615" i="6"/>
  <c r="A616" i="6"/>
  <c r="A617" i="6"/>
  <c r="A620" i="6"/>
  <c r="A621" i="6"/>
  <c r="A622" i="6"/>
  <c r="A623" i="6"/>
  <c r="A624" i="6"/>
  <c r="A625" i="6"/>
  <c r="A626" i="6"/>
  <c r="A630" i="6"/>
  <c r="A631" i="6"/>
  <c r="A632" i="6"/>
  <c r="A633" i="6"/>
  <c r="A634" i="6"/>
  <c r="A635" i="6"/>
  <c r="A636" i="6"/>
  <c r="A637" i="6"/>
  <c r="A640" i="6"/>
  <c r="A641" i="6"/>
  <c r="A642" i="6"/>
  <c r="A643" i="6"/>
  <c r="A644" i="6"/>
  <c r="A645" i="6"/>
  <c r="A646" i="6"/>
  <c r="A650" i="6"/>
  <c r="A651" i="6"/>
  <c r="A652" i="6"/>
  <c r="A653" i="6"/>
  <c r="A654" i="6"/>
  <c r="A655" i="6"/>
  <c r="A656" i="6"/>
  <c r="A657" i="6"/>
  <c r="A660" i="6"/>
  <c r="A661" i="6"/>
  <c r="A662" i="6"/>
  <c r="A663" i="6"/>
  <c r="A664" i="6"/>
  <c r="A665" i="6"/>
  <c r="A666" i="6"/>
  <c r="A670" i="6"/>
  <c r="A671" i="6"/>
  <c r="A672" i="6"/>
  <c r="A673" i="6"/>
  <c r="A674" i="6"/>
  <c r="A675" i="6"/>
  <c r="A676" i="6"/>
  <c r="A677" i="6"/>
  <c r="A680" i="6"/>
  <c r="A681" i="6"/>
  <c r="A682" i="6"/>
  <c r="A683" i="6"/>
  <c r="A684" i="6"/>
  <c r="A685" i="6"/>
  <c r="A686" i="6"/>
  <c r="A690" i="6"/>
  <c r="A691" i="6"/>
  <c r="A692" i="6"/>
  <c r="A693" i="6"/>
  <c r="A694" i="6"/>
  <c r="A695" i="6"/>
  <c r="A696" i="6"/>
  <c r="A697" i="6"/>
  <c r="A700" i="6"/>
  <c r="A701" i="6"/>
  <c r="A702" i="6"/>
  <c r="A703" i="6"/>
  <c r="A704" i="6"/>
  <c r="A705" i="6"/>
  <c r="A706" i="6"/>
  <c r="A710" i="6"/>
  <c r="A711" i="6"/>
  <c r="A712" i="6"/>
  <c r="A713" i="6"/>
  <c r="A714" i="6"/>
  <c r="A715" i="6"/>
  <c r="A716" i="6"/>
  <c r="A717" i="6"/>
  <c r="A720" i="6"/>
  <c r="A721" i="6"/>
  <c r="A722" i="6"/>
  <c r="A723" i="6"/>
  <c r="A724" i="6"/>
  <c r="A725" i="6"/>
  <c r="A726" i="6"/>
  <c r="A730" i="6"/>
  <c r="A731" i="6"/>
  <c r="A732" i="6"/>
  <c r="A733" i="6"/>
  <c r="A734" i="6"/>
  <c r="A735" i="6"/>
  <c r="A736" i="6"/>
  <c r="A737" i="6"/>
  <c r="A740" i="6"/>
  <c r="A741" i="6"/>
  <c r="A742" i="6"/>
  <c r="A743" i="6"/>
  <c r="A744" i="6"/>
  <c r="A745" i="6"/>
  <c r="A746" i="6"/>
  <c r="A750" i="6"/>
  <c r="A751" i="6"/>
  <c r="A752" i="6"/>
  <c r="A753" i="6"/>
  <c r="A754" i="6"/>
  <c r="A755" i="6"/>
  <c r="A756" i="6"/>
  <c r="A757" i="6"/>
  <c r="A760" i="6"/>
  <c r="A761" i="6"/>
  <c r="A762" i="6"/>
  <c r="A763" i="6"/>
  <c r="A764" i="6"/>
  <c r="A765" i="6"/>
  <c r="A766" i="6"/>
  <c r="A770" i="6"/>
  <c r="A771" i="6"/>
  <c r="A772" i="6"/>
  <c r="A773" i="6"/>
  <c r="A774" i="6"/>
  <c r="A775" i="6"/>
  <c r="A776" i="6"/>
  <c r="A777" i="6"/>
  <c r="A780" i="6"/>
  <c r="A781" i="6"/>
  <c r="A782" i="6"/>
  <c r="A783" i="6"/>
  <c r="A784" i="6"/>
  <c r="A785" i="6"/>
  <c r="A786" i="6"/>
  <c r="A790" i="6"/>
  <c r="A791" i="6"/>
  <c r="A792" i="6"/>
  <c r="A793" i="6"/>
  <c r="A794" i="6"/>
  <c r="A795" i="6"/>
  <c r="A796" i="6"/>
  <c r="A797" i="6"/>
  <c r="A800" i="6"/>
  <c r="A801" i="6"/>
  <c r="A802" i="6"/>
  <c r="A803" i="6"/>
  <c r="A804" i="6"/>
  <c r="A805" i="6"/>
  <c r="A806" i="6"/>
  <c r="A810" i="6"/>
  <c r="A811" i="6"/>
  <c r="A812" i="6"/>
  <c r="A813" i="6"/>
  <c r="A814" i="6"/>
  <c r="A815" i="6"/>
  <c r="A816" i="6"/>
  <c r="A817" i="6"/>
  <c r="A820" i="6"/>
  <c r="A821" i="6"/>
  <c r="A822" i="6"/>
  <c r="A823" i="6"/>
  <c r="A824" i="6"/>
  <c r="A825" i="6"/>
  <c r="A826" i="6"/>
  <c r="A830" i="6"/>
  <c r="A831" i="6"/>
  <c r="A832" i="6"/>
  <c r="A833" i="6"/>
  <c r="A834" i="6"/>
  <c r="A835" i="6"/>
  <c r="A836" i="6"/>
  <c r="A837" i="6"/>
  <c r="A840" i="6"/>
  <c r="A841" i="6"/>
  <c r="A842" i="6"/>
  <c r="A843" i="6"/>
  <c r="A844" i="6"/>
  <c r="A845" i="6"/>
  <c r="A846" i="6"/>
  <c r="A850" i="6"/>
  <c r="A851" i="6"/>
  <c r="A852" i="6"/>
  <c r="A853" i="6"/>
  <c r="A854" i="6"/>
  <c r="A855" i="6"/>
  <c r="A856" i="6"/>
  <c r="A857" i="6"/>
  <c r="A860" i="6"/>
  <c r="A861" i="6"/>
  <c r="A862" i="6"/>
  <c r="A863" i="6"/>
  <c r="A864" i="6"/>
  <c r="A865" i="6"/>
  <c r="A866" i="6"/>
  <c r="A870" i="6"/>
  <c r="A871" i="6"/>
  <c r="A872" i="6"/>
  <c r="A873" i="6"/>
  <c r="A874" i="6"/>
  <c r="A875" i="6"/>
  <c r="A876" i="6"/>
  <c r="A877" i="6"/>
  <c r="A880" i="6"/>
  <c r="A881" i="6"/>
  <c r="A882" i="6"/>
  <c r="A883" i="6"/>
  <c r="A884" i="6"/>
  <c r="A885" i="6"/>
  <c r="A886" i="6"/>
  <c r="A890" i="6"/>
  <c r="A891" i="6"/>
  <c r="A892" i="6"/>
  <c r="A893" i="6"/>
  <c r="A894" i="6"/>
  <c r="A895" i="6"/>
  <c r="A896" i="6"/>
  <c r="A897" i="6"/>
  <c r="A900" i="6"/>
  <c r="A901" i="6"/>
  <c r="A902" i="6"/>
  <c r="A903" i="6"/>
  <c r="A904" i="6"/>
  <c r="A905" i="6"/>
  <c r="A906" i="6"/>
  <c r="A910" i="6"/>
  <c r="A911" i="6"/>
  <c r="A912" i="6"/>
  <c r="A913" i="6"/>
  <c r="A914" i="6"/>
  <c r="A915" i="6"/>
  <c r="A916" i="6"/>
  <c r="A917" i="6"/>
  <c r="A920" i="6"/>
  <c r="A921" i="6"/>
  <c r="A922" i="6"/>
  <c r="A923" i="6"/>
  <c r="A924" i="6"/>
  <c r="A925" i="6"/>
  <c r="A926" i="6"/>
  <c r="A930" i="6"/>
  <c r="A931" i="6"/>
  <c r="A932" i="6"/>
  <c r="A933" i="6"/>
  <c r="A934" i="6"/>
  <c r="A935" i="6"/>
  <c r="A936" i="6"/>
  <c r="A937" i="6"/>
  <c r="A940" i="6"/>
  <c r="A941" i="6"/>
  <c r="A942" i="6"/>
  <c r="A943" i="6"/>
  <c r="A944" i="6"/>
  <c r="A945" i="6"/>
  <c r="A946" i="6"/>
  <c r="A950" i="6"/>
  <c r="A951" i="6"/>
  <c r="A952" i="6"/>
  <c r="A953" i="6"/>
  <c r="A954" i="6"/>
  <c r="A955" i="6"/>
  <c r="A956" i="6"/>
  <c r="A957" i="6"/>
  <c r="A960" i="6"/>
  <c r="A961" i="6"/>
  <c r="A962" i="6"/>
  <c r="A963" i="6"/>
  <c r="A964" i="6"/>
  <c r="A965" i="6"/>
  <c r="A966" i="6"/>
  <c r="A970" i="6"/>
  <c r="A971" i="6"/>
  <c r="A972" i="6"/>
  <c r="A973" i="6"/>
  <c r="A974" i="6"/>
  <c r="A975" i="6"/>
  <c r="A976" i="6"/>
  <c r="A977" i="6"/>
  <c r="A980" i="6"/>
  <c r="A981" i="6"/>
  <c r="A982" i="6"/>
  <c r="A983" i="6"/>
  <c r="A984" i="6"/>
  <c r="A985" i="6"/>
  <c r="A986" i="6"/>
  <c r="A990" i="6"/>
  <c r="A991" i="6"/>
  <c r="A992" i="6"/>
  <c r="A993" i="6"/>
  <c r="A994" i="6"/>
  <c r="A995" i="6"/>
  <c r="A996" i="6"/>
  <c r="A997" i="6"/>
  <c r="A1000" i="6"/>
  <c r="A1" i="6"/>
  <c r="E74" i="10" l="1"/>
  <c r="E76" i="10" s="1"/>
  <c r="E78" i="10" s="1"/>
  <c r="G74" i="10"/>
  <c r="G76" i="10" s="1"/>
  <c r="G78" i="10" s="1"/>
  <c r="F74" i="10"/>
  <c r="F76" i="10" s="1"/>
  <c r="F78" i="10" s="1"/>
  <c r="D75" i="10"/>
  <c r="D77" i="10" s="1"/>
  <c r="D74" i="10"/>
  <c r="D76" i="10" s="1"/>
  <c r="D78" i="10" s="1"/>
  <c r="E75" i="10"/>
  <c r="E77" i="10" s="1"/>
  <c r="F75" i="10"/>
  <c r="F77" i="10" s="1"/>
  <c r="G75" i="10"/>
  <c r="G77" i="10" s="1"/>
  <c r="G61" i="10" l="1"/>
  <c r="G40" i="10" s="1"/>
  <c r="G79" i="10"/>
  <c r="F61" i="10"/>
  <c r="F40" i="10" s="1"/>
  <c r="F79" i="10"/>
  <c r="E61" i="10"/>
  <c r="E40" i="10" s="1"/>
  <c r="E79" i="10"/>
  <c r="D40" i="10"/>
  <c r="D61" i="10"/>
  <c r="D79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<sst xmlns="http://schemas.openxmlformats.org/spreadsheetml/2006/main" count="445" uniqueCount="328">
  <si>
    <t>Parameter</t>
  </si>
  <si>
    <t>Unit</t>
  </si>
  <si>
    <t>Z</t>
  </si>
  <si>
    <t>W</t>
  </si>
  <si>
    <t>ZH</t>
  </si>
  <si>
    <t>ttbar</t>
  </si>
  <si>
    <t>Injector</t>
  </si>
  <si>
    <t>LINAC</t>
  </si>
  <si>
    <t>Circumference</t>
  </si>
  <si>
    <t>km</t>
  </si>
  <si>
    <t>Injection energy</t>
  </si>
  <si>
    <t>GeV</t>
  </si>
  <si>
    <t>Extraction energy</t>
  </si>
  <si>
    <t>nC</t>
  </si>
  <si>
    <t>RF frequency</t>
  </si>
  <si>
    <t>MHz</t>
  </si>
  <si>
    <t>Arc optics</t>
  </si>
  <si>
    <t>Momentum compaction</t>
  </si>
  <si>
    <t>Coupling</t>
  </si>
  <si>
    <t>µm</t>
  </si>
  <si>
    <t>Injection horizontal emittance (norm.)</t>
  </si>
  <si>
    <t>Injection vertical emittance (norm.)</t>
  </si>
  <si>
    <t>Extraction horizontal emittance (RMS)</t>
  </si>
  <si>
    <t>nm</t>
  </si>
  <si>
    <t>Extraction vertical emittance (RMS)</t>
  </si>
  <si>
    <t>pm</t>
  </si>
  <si>
    <t>Injection energy loss/turn</t>
  </si>
  <si>
    <t>Extraction energy loss/turn</t>
  </si>
  <si>
    <t>mm</t>
  </si>
  <si>
    <t>Extraction bunch length</t>
  </si>
  <si>
    <t>Injection RMS energy spread</t>
  </si>
  <si>
    <t>Extraction RMS energy spread</t>
  </si>
  <si>
    <t>Injection maximum relative energy acceptance</t>
  </si>
  <si>
    <t>%</t>
  </si>
  <si>
    <t>Extraction maximum relative energy acceptance</t>
  </si>
  <si>
    <t>Injection RF voltage</t>
  </si>
  <si>
    <t>MV</t>
  </si>
  <si>
    <t>Extraction RF voltage</t>
  </si>
  <si>
    <t>s</t>
  </si>
  <si>
    <t>Flat-top</t>
  </si>
  <si>
    <t>Comments</t>
  </si>
  <si>
    <t>Vacuum chamber material</t>
  </si>
  <si>
    <t>Copper</t>
  </si>
  <si>
    <t>Injection magnetic rigidity</t>
  </si>
  <si>
    <t>Tm</t>
  </si>
  <si>
    <t>Extraction magnetic rigidity</t>
  </si>
  <si>
    <t>Total angle</t>
  </si>
  <si>
    <t>rad</t>
  </si>
  <si>
    <t>Total length</t>
  </si>
  <si>
    <t>m</t>
  </si>
  <si>
    <t>Total number</t>
  </si>
  <si>
    <t>-</t>
  </si>
  <si>
    <t>Quadrupoles</t>
  </si>
  <si>
    <t>Integrated norm. Gradient</t>
  </si>
  <si>
    <t>Sextupoles</t>
  </si>
  <si>
    <t>m-1</t>
  </si>
  <si>
    <t>m-2</t>
  </si>
  <si>
    <t>Mean length per magnet</t>
  </si>
  <si>
    <t>Mean dipole field</t>
  </si>
  <si>
    <t>T</t>
  </si>
  <si>
    <t>Integrated dipole field</t>
  </si>
  <si>
    <t>Integrated quadrupole field</t>
  </si>
  <si>
    <t>T/m</t>
  </si>
  <si>
    <t>Mean quadrupole field</t>
  </si>
  <si>
    <t>Integrated sextupole field</t>
  </si>
  <si>
    <t>Mean sextupole field</t>
  </si>
  <si>
    <t>T/m2</t>
  </si>
  <si>
    <t>Layout</t>
  </si>
  <si>
    <t>Offset IP</t>
  </si>
  <si>
    <t>Hor. Arc offset booster-collider</t>
  </si>
  <si>
    <t>General parameters</t>
  </si>
  <si>
    <t>Optics parameters</t>
  </si>
  <si>
    <t>Injection Beam parameters</t>
  </si>
  <si>
    <t>Extraction Beam parameters</t>
  </si>
  <si>
    <t>RF and voltage parameters</t>
  </si>
  <si>
    <t>Ramp parameters</t>
  </si>
  <si>
    <t>Vacuum chamber parameters</t>
  </si>
  <si>
    <t>Shape</t>
  </si>
  <si>
    <t>Circular</t>
  </si>
  <si>
    <t>Dipole relative field error</t>
  </si>
  <si>
    <t>Main dipole roll error</t>
  </si>
  <si>
    <t>BPMs resolution error</t>
  </si>
  <si>
    <t>µrad</t>
  </si>
  <si>
    <t>Girder misalignment error</t>
  </si>
  <si>
    <t>Magnet misaligment and RMS error</t>
  </si>
  <si>
    <t>Offset error sextupoles in respect with girder</t>
  </si>
  <si>
    <t>Offset error BPMs in respect with girder</t>
  </si>
  <si>
    <t>Offset error quadrupoles in respect with girder</t>
  </si>
  <si>
    <t>Dipoles</t>
  </si>
  <si>
    <t>Max gradient</t>
  </si>
  <si>
    <t>m-3</t>
  </si>
  <si>
    <t>Number bunches/collider</t>
  </si>
  <si>
    <t>Thickness</t>
  </si>
  <si>
    <t>Version</t>
  </si>
  <si>
    <t>Number of Ips</t>
  </si>
  <si>
    <t>Number of booster cyclings to have a full collider ramp</t>
  </si>
  <si>
    <t>Number bunches/booster</t>
  </si>
  <si>
    <t>Particle number / bunch (filling)</t>
  </si>
  <si>
    <t>Bunch charge (filling)</t>
  </si>
  <si>
    <t>Maximum bootstrap particle number / bunch (top-up)</t>
  </si>
  <si>
    <t>Maximum bootstrap bunch charge (top-up)</t>
  </si>
  <si>
    <t>Injection RMS bunch length</t>
  </si>
  <si>
    <t>Equilibrium horizontal emittance at extraction energy (RMS)</t>
  </si>
  <si>
    <t>Equilibrium vertical emittance at extraction energy (RMS)</t>
  </si>
  <si>
    <t xml:space="preserve">Equilibrium bunch length at extraction energy </t>
  </si>
  <si>
    <t xml:space="preserve">Equilibrium RMS energy spread at extraction energy </t>
  </si>
  <si>
    <t>To be validated</t>
  </si>
  <si>
    <t>Nb linac bunches/pulse</t>
  </si>
  <si>
    <t>Linac repetition frequency</t>
  </si>
  <si>
    <t>Hz</t>
  </si>
  <si>
    <t>Accumulation time: np/frep</t>
  </si>
  <si>
    <t>Nb linac pulses at injection np</t>
  </si>
  <si>
    <t>Acc time</t>
  </si>
  <si>
    <t>Average energy gain</t>
  </si>
  <si>
    <t>GeV/s</t>
  </si>
  <si>
    <t>Ramp time (up + flat + down)</t>
  </si>
  <si>
    <t>Total cycling time: nBR*(tacc + tramp)</t>
  </si>
  <si>
    <t>Collider particles/bunch</t>
  </si>
  <si>
    <t># of BR ramps (up to 1/2 stored current, with Nmax)</t>
  </si>
  <si>
    <t>Booster cycling time: tacc + tramp</t>
  </si>
  <si>
    <t># of BR ramps (up to stored current, with bootstrap)</t>
  </si>
  <si>
    <t>Collider filling time from scratch</t>
  </si>
  <si>
    <t>Allowable charge balance</t>
  </si>
  <si>
    <t>Collider beam life time at collisions</t>
  </si>
  <si>
    <t>Collider top-up interval (between e+ and e-)</t>
  </si>
  <si>
    <t>Max dipole field</t>
  </si>
  <si>
    <t>Max gradient Smax</t>
  </si>
  <si>
    <t>T/m^2</t>
  </si>
  <si>
    <t>Max pole field</t>
  </si>
  <si>
    <t>Inner Diameter</t>
  </si>
  <si>
    <t>Outer diameter</t>
  </si>
  <si>
    <t>Synchrotron integrate I5</t>
  </si>
  <si>
    <t>Synchrotron integrate I3</t>
  </si>
  <si>
    <t>Synchrotron integrate I2</t>
  </si>
  <si>
    <t>MeV/turn</t>
  </si>
  <si>
    <t>Injection gamma</t>
  </si>
  <si>
    <t>To be updated according to ramp</t>
  </si>
  <si>
    <t>RF wavelength</t>
  </si>
  <si>
    <t>Injection synchronous phase</t>
  </si>
  <si>
    <t>degree</t>
  </si>
  <si>
    <t>Extraction synchronous phase</t>
  </si>
  <si>
    <t>Hor. Damping time at injection energy</t>
  </si>
  <si>
    <t>Revolution period</t>
  </si>
  <si>
    <t>ms</t>
  </si>
  <si>
    <t>Hor. Damping time at extraction energy</t>
  </si>
  <si>
    <t>Long. Damping time at injection energy</t>
  </si>
  <si>
    <t>Long. Damping time at extraction energy</t>
  </si>
  <si>
    <t>Extraction gamma</t>
  </si>
  <si>
    <t>Injection synchronous tune</t>
  </si>
  <si>
    <t>Extraction synchronous tune</t>
  </si>
  <si>
    <t>Number</t>
  </si>
  <si>
    <t>Gradient injection [T/m]</t>
  </si>
  <si>
    <t>Length</t>
  </si>
  <si>
    <t>Gradient at Z [T/m]</t>
  </si>
  <si>
    <t>MEAN</t>
  </si>
  <si>
    <t>Total number of magnets</t>
  </si>
  <si>
    <t>Mean gradient (injection) T/m</t>
  </si>
  <si>
    <t>MAX</t>
  </si>
  <si>
    <t>Max gradient (injection) T/m</t>
  </si>
  <si>
    <t>MIN</t>
  </si>
  <si>
    <t>Min gradient (injection) T/m</t>
  </si>
  <si>
    <t>Total normalized gradient</t>
  </si>
  <si>
    <t>Min gradient</t>
  </si>
  <si>
    <t>Max allowed gradient Gmax</t>
  </si>
  <si>
    <t>Length Min</t>
  </si>
  <si>
    <t>Length min</t>
  </si>
  <si>
    <t>Max allowed strength Kmax</t>
  </si>
  <si>
    <t>To be optimized</t>
  </si>
  <si>
    <t>Flat-top to be optimized with ramping</t>
  </si>
  <si>
    <t>mA</t>
  </si>
  <si>
    <t>Injection beam energy</t>
  </si>
  <si>
    <t>kJ</t>
  </si>
  <si>
    <t>MW</t>
  </si>
  <si>
    <t>Injection SR power loss (filling)</t>
  </si>
  <si>
    <t>Extraction SR power loss (filling)</t>
  </si>
  <si>
    <t>Injection SR power loss (top-up)</t>
  </si>
  <si>
    <t>Extraction SR power loss (top-up)</t>
  </si>
  <si>
    <t>Mean beam current (filling)</t>
  </si>
  <si>
    <t>Mean beam current (top-up)</t>
  </si>
  <si>
    <t>Horizontal tune Qx</t>
  </si>
  <si>
    <t>Vertical tune Qy</t>
  </si>
  <si>
    <t xml:space="preserve">Horizontal chromaticity </t>
  </si>
  <si>
    <t xml:space="preserve">Vertical chromaticity </t>
  </si>
  <si>
    <t>Down ramp</t>
  </si>
  <si>
    <t>Keyword</t>
  </si>
  <si>
    <t>LAYOUT</t>
  </si>
  <si>
    <t>NUMBER_IPS</t>
  </si>
  <si>
    <t>CIRCUMFERENCE</t>
  </si>
  <si>
    <t>REVOLUTION_PERIOD</t>
  </si>
  <si>
    <t>OFFSET_IP</t>
  </si>
  <si>
    <t>HORIZONTAL_ARC_OFFSET</t>
  </si>
  <si>
    <t>INJECTOR</t>
  </si>
  <si>
    <t>NUMBER_BUNCHES_COLLIDER</t>
  </si>
  <si>
    <t>BUNCH_POPULATION_COLLIDER</t>
  </si>
  <si>
    <t>ALLOWED_CHARGE_BALANCE_COLLIDER</t>
  </si>
  <si>
    <t>BUNCH_POPULATION_FILLING</t>
  </si>
  <si>
    <t>BUNCH_CHARGE_FILLING</t>
  </si>
  <si>
    <t>BEAM_CURRENT_FILLING</t>
  </si>
  <si>
    <t>LIFETIME_COLLIDER</t>
  </si>
  <si>
    <t>INJECTION_INTERVAL_TOPUP</t>
  </si>
  <si>
    <t>BEAM_CURRENT_TOPUP</t>
  </si>
  <si>
    <t>BUNCH_CHARGE_TOPUP</t>
  </si>
  <si>
    <t>BUNCH_POPULATION_TOPUP</t>
  </si>
  <si>
    <t>NUMBER_CYCLINGS_FILLING_COLLIDER</t>
  </si>
  <si>
    <t>ENERGY_INJECTION</t>
  </si>
  <si>
    <t>BRHO_INJECTION</t>
  </si>
  <si>
    <t>GAMMA_INJECTION</t>
  </si>
  <si>
    <t>ENERGY_EXTRACTION</t>
  </si>
  <si>
    <t>BEAM_ENERGY_EXTRACTION</t>
  </si>
  <si>
    <t>NORM_EMITTANCE_X_INJECTION</t>
  </si>
  <si>
    <t>NORM_EMITTANCE_Y_INJECTION</t>
  </si>
  <si>
    <t>BUNCH_LENGTH_INJECTION</t>
  </si>
  <si>
    <t>ENERGY_SPREAD_INJECTION</t>
  </si>
  <si>
    <t>BRHO_EXTRACTION</t>
  </si>
  <si>
    <t>GAMMA_EXTRACTION</t>
  </si>
  <si>
    <t>Extraction beam energy</t>
  </si>
  <si>
    <t>NORM_EMITTANCE_X_EXTRACTION</t>
  </si>
  <si>
    <t>NORM_EMITTANCE_Y_EXTRACTION</t>
  </si>
  <si>
    <t>BUNCH_LENGTH_EXTRACTION</t>
  </si>
  <si>
    <t>ENERGY_SPREAD_EXTRACTION</t>
  </si>
  <si>
    <t>BUNCH_LENGTH_SR_COLLIDER</t>
  </si>
  <si>
    <t>BUNCH_LENGTH_BS_COLLIDER</t>
  </si>
  <si>
    <t>Collider bunch length (SR)</t>
  </si>
  <si>
    <t>Collider bunch length (BS)</t>
  </si>
  <si>
    <t>OPTICS_VERSION</t>
  </si>
  <si>
    <t>QX</t>
  </si>
  <si>
    <t>I2</t>
  </si>
  <si>
    <t>I3</t>
  </si>
  <si>
    <t>I5</t>
  </si>
  <si>
    <t>COUPLING</t>
  </si>
  <si>
    <t>QY</t>
  </si>
  <si>
    <t>CSIX</t>
  </si>
  <si>
    <t>CSIY</t>
  </si>
  <si>
    <t>ALPHA_P</t>
  </si>
  <si>
    <t>DAMPING_TIME_X_INJECTION</t>
  </si>
  <si>
    <t>DAMPING_TIME_X_EXTRACTION</t>
  </si>
  <si>
    <t>DAMPING_TIME_LONG_INJECTION</t>
  </si>
  <si>
    <t>DAMPING_TIME_LONG_EXTRACTION</t>
  </si>
  <si>
    <t>EQ_EMITTANCE_X_EXTRACTION</t>
  </si>
  <si>
    <t>EQ_EMITTANCE_Y_EXTRACTION</t>
  </si>
  <si>
    <t>EQ_BUNCH_LENGTH_EXTRACTION</t>
  </si>
  <si>
    <t>RF_FREQUENCY</t>
  </si>
  <si>
    <t>RF_WAVELENGTH</t>
  </si>
  <si>
    <t>RF_ENERGY_ACCEPTANCE_INJECTION</t>
  </si>
  <si>
    <t>RF_ENERGY_ACCEPTANCE_EXTRACTION</t>
  </si>
  <si>
    <t>POWER_LOSS_SR_INJECTION_FILLING</t>
  </si>
  <si>
    <t>POWER_LOSS_SR_EXTRACTION_FILLING</t>
  </si>
  <si>
    <t>POWER_LOSS_SR_INJECTION_TOPUP</t>
  </si>
  <si>
    <t>POWER_LOSS_SR_EXTRACTION_TOPUP</t>
  </si>
  <si>
    <t>ENERGY_LOSS_SR_INJECTION</t>
  </si>
  <si>
    <t>ENERGY_LOSS_SR_EXTRACTION</t>
  </si>
  <si>
    <t>SYNCHRONOUS_PHASE_INJECTION</t>
  </si>
  <si>
    <t>SYNCHRONOUS_PHASE_EXTRACTION</t>
  </si>
  <si>
    <t>RF_VOLTAGE_INJECTION</t>
  </si>
  <si>
    <t>RF_VOLTAGE_EXTRACTION</t>
  </si>
  <si>
    <t>QS_INJECTION</t>
  </si>
  <si>
    <t>QS_EXTRACTION</t>
  </si>
  <si>
    <t>NUMBER_PULSES_INJECTOR</t>
  </si>
  <si>
    <t>REPETITION_FREQUENCY_INJECTOR</t>
  </si>
  <si>
    <t>NUMBER_BUNCHES</t>
  </si>
  <si>
    <t>NUMBER_BUNCH_INJECTOR</t>
  </si>
  <si>
    <t>ENERGY_SLOPE</t>
  </si>
  <si>
    <t>TIME_ACCUMULATION</t>
  </si>
  <si>
    <t>TIME_RAMP</t>
  </si>
  <si>
    <t>TIME_FLATTOP</t>
  </si>
  <si>
    <t>TIME_RAMPDOWN</t>
  </si>
  <si>
    <t>TIME_RAMPUP</t>
  </si>
  <si>
    <t>TIME_CYCLE</t>
  </si>
  <si>
    <t>TIME_CYCLE_TOTAL</t>
  </si>
  <si>
    <t>NUMBER_CYCLES_TOHALF</t>
  </si>
  <si>
    <t>NUMBER_CYCLES_TOONE</t>
  </si>
  <si>
    <t>TIME_FILLING_COLLDIER</t>
  </si>
  <si>
    <t>VACUUM_CHAMBER_SHAPE</t>
  </si>
  <si>
    <t>VACUUM_CHAMBER_THICKNESS</t>
  </si>
  <si>
    <t>VACUUM_CHAMBER_MATERIAL</t>
  </si>
  <si>
    <t>VACUUM_CHAMBER_DIAMETER_INNER</t>
  </si>
  <si>
    <t>VACUUM_CHAMBER_DIAMETER_OUTER</t>
  </si>
  <si>
    <t>DIPOLE_FIELD_MAX</t>
  </si>
  <si>
    <t>DIPOLE_LENGTH</t>
  </si>
  <si>
    <t>DIPOLE_FIELD</t>
  </si>
  <si>
    <t>DIPOLE_ANGLE_ARC</t>
  </si>
  <si>
    <t>DIPOLE_LENGTH_ARC</t>
  </si>
  <si>
    <t>DIPOLE_FIELD_ARC</t>
  </si>
  <si>
    <t>DIPOLE_NUMBER_ARC</t>
  </si>
  <si>
    <t>QUADRUPOLE_FIELD_MAX</t>
  </si>
  <si>
    <t>QUADRUPOLE_GRADIENT_MAX</t>
  </si>
  <si>
    <t>QUADRUPOLE_K_MAX</t>
  </si>
  <si>
    <t>QUADRUPOLE_GRADIENT_ARC</t>
  </si>
  <si>
    <t>QUADRUPOLE_LENGTH_ARC</t>
  </si>
  <si>
    <t>QUADRUPOLE_NUMBER_ARC</t>
  </si>
  <si>
    <t>QUADRUPOLE_K_ARC</t>
  </si>
  <si>
    <t>SEXTUPOLE_FIELD_MAX</t>
  </si>
  <si>
    <t>SEXTUPOLE_GRADIENT_MAX</t>
  </si>
  <si>
    <t>SEXTUPOLE_K_MAX</t>
  </si>
  <si>
    <t>SEXTUPOLE_K_ARC</t>
  </si>
  <si>
    <t>SEXTUPOLE_LENGTH_ARC</t>
  </si>
  <si>
    <t>SEXTUPOLE_NUMBER_ARC</t>
  </si>
  <si>
    <t>SEXTUPOLE_GRADIENT_ARC</t>
  </si>
  <si>
    <t>QUADRUPOLE_GRADIENT_MEAN</t>
  </si>
  <si>
    <t>QUADRUPOLE_GRADIENT_MIN</t>
  </si>
  <si>
    <t>SEXTUPOLE_GRADIENT_MEAN</t>
  </si>
  <si>
    <t>SEXTUPOLE_GRADIENT_MIN</t>
  </si>
  <si>
    <t>DIPOLE_ERROR_FIELD</t>
  </si>
  <si>
    <t>DIPOLE_ERROR_ROLL</t>
  </si>
  <si>
    <t>GIRDER_ERROR_MISALIGNMENT</t>
  </si>
  <si>
    <t>QUADRUPOLE_ERROR_GIRDER</t>
  </si>
  <si>
    <t>BPM_ERROR_GIRDER</t>
  </si>
  <si>
    <t>SEXTUPOLE_ERROR_GIRDER</t>
  </si>
  <si>
    <t>BPM_ERROR_RESOLUTION</t>
  </si>
  <si>
    <t>EQ_ENERGY_SPREAD_EXTRACTION</t>
  </si>
  <si>
    <t>V160.2</t>
  </si>
  <si>
    <t>V26.1_LCC</t>
  </si>
  <si>
    <t>Integrated strength</t>
  </si>
  <si>
    <t>Norm strength [m-2]</t>
  </si>
  <si>
    <t>Normalized strength [m-3]</t>
  </si>
  <si>
    <t>Angle [rad]</t>
  </si>
  <si>
    <t>Norm strength [m-1]</t>
  </si>
  <si>
    <t>Field injection [T]</t>
  </si>
  <si>
    <t>Field at Z [T]</t>
  </si>
  <si>
    <t>Min field (injection) T</t>
  </si>
  <si>
    <t>Max field (injection) T</t>
  </si>
  <si>
    <t>Mean field (injection) T</t>
  </si>
  <si>
    <t>Magnet parameters</t>
  </si>
  <si>
    <t>Min field</t>
  </si>
  <si>
    <t>Max field</t>
  </si>
  <si>
    <t>Quadrupole relative field error</t>
  </si>
  <si>
    <t>Sextupole relative field error</t>
  </si>
  <si>
    <t>Main quadrupole roll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</si>
</sst>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21">
    <xf numFmtId="0" fontId="0" fillId="0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3" fillId="0" borderId="0"/>
    <xf numFmtId="0" fontId="1" fillId="0" borderId="0"/>
    <xf numFmtId="0" fontId="1" fillId="0" borderId="0"/>
    <xf numFmtId="0" fontId="4" fillId="0" borderId="0"/>
    <xf numFmtId="0" fontId="14" fillId="0" borderId="2" applyNumberFormat="0" applyFill="0" applyAlignment="0" applyProtection="0"/>
    <xf numFmtId="0" fontId="15" fillId="0" borderId="3" applyNumberFormat="0" applyFill="0" applyAlignment="0" applyProtection="0"/>
  </cellStyleXfs>
  <cellXfs count="8">
    <xf numFmtId="0" fontId="0" fillId="0" borderId="0" xfId="0"/>
    <xf numFmtId="11" fontId="0" fillId="0" borderId="0" xfId="0" applyNumberFormat="1"/>
    <xf numFmtId="13" fontId="0" fillId="0" borderId="0" xfId="0" applyNumberFormat="1"/>
    <xf numFmtId="0" fontId="0" fillId="0" borderId="0" xfId="0" applyFont="1"/>
    <xf numFmtId="0" fontId="14" fillId="0" borderId="2" xfId="19"/>
    <xf numFmtId="0" fontId="15" fillId="0" borderId="3" xfId="20"/>
    <xf numFmtId="0" fontId="0" fillId="0" borderId="0" xfId="0" applyNumberFormat="1"/>
    <xf numFmtId="0" fontId="0" fillId="0" borderId="0" xfId="0" applyAlignment="1">
      <alignment vertical="center"/>
    </xf>
  </cellXfs>
  <cellStyles count="21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Footnote" xfId="8" xr:uid="{00000000-0005-0000-0000-000006000000}"/>
    <cellStyle name="Good" xfId="9" xr:uid="{00000000-0005-0000-0000-000007000000}"/>
    <cellStyle name="Heading" xfId="10" xr:uid="{00000000-0005-0000-0000-000008000000}"/>
    <cellStyle name="Heading 1" xfId="11" xr:uid="{00000000-0005-0000-0000-000009000000}"/>
    <cellStyle name="Heading 2" xfId="12" xr:uid="{00000000-0005-0000-0000-00000A000000}"/>
    <cellStyle name="Hyperlink" xfId="13" xr:uid="{00000000-0005-0000-0000-00000B000000}"/>
    <cellStyle name="Neutral" xfId="14" xr:uid="{00000000-0005-0000-0000-00000C000000}"/>
    <cellStyle name="Normal" xfId="0" builtinId="0" customBuiltin="1"/>
    <cellStyle name="Note" xfId="1" builtinId="10" customBuiltin="1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Titre 1" xfId="19" builtinId="16"/>
    <cellStyle name="Titre 2" xfId="20" builtinId="17"/>
    <cellStyle name="Warning" xfId="18" xr:uid="{00000000-0005-0000-0000-000014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4"/>
  <sheetViews>
    <sheetView tabSelected="1" topLeftCell="B137" workbookViewId="0">
      <selection activeCell="B146" sqref="B146"/>
    </sheetView>
  </sheetViews>
  <sheetFormatPr baseColWidth="10" defaultRowHeight="14.4" x14ac:dyDescent="0.3"/>
  <cols>
    <col min="1" max="1" width="34.77734375" hidden="1" customWidth="1"/>
    <col min="2" max="2" width="50.109375" bestFit="1" customWidth="1"/>
    <col min="4" max="4" width="12" bestFit="1" customWidth="1"/>
    <col min="7" max="7" width="12" bestFit="1" customWidth="1"/>
    <col min="8" max="8" width="78" bestFit="1" customWidth="1"/>
    <col min="10" max="10" width="13.6640625" bestFit="1" customWidth="1"/>
  </cols>
  <sheetData>
    <row r="1" spans="1:11" x14ac:dyDescent="0.3">
      <c r="A1" t="s">
        <v>184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40</v>
      </c>
      <c r="K1" s="1"/>
    </row>
    <row r="2" spans="1:11" ht="20.399999999999999" thickBot="1" x14ac:dyDescent="0.45">
      <c r="B2" s="4" t="s">
        <v>67</v>
      </c>
    </row>
    <row r="3" spans="1:11" ht="15" thickTop="1" x14ac:dyDescent="0.3">
      <c r="A3" t="s">
        <v>185</v>
      </c>
      <c r="B3" t="s">
        <v>93</v>
      </c>
      <c r="D3" t="s">
        <v>310</v>
      </c>
    </row>
    <row r="4" spans="1:11" x14ac:dyDescent="0.3">
      <c r="A4" t="s">
        <v>186</v>
      </c>
      <c r="B4" t="s">
        <v>94</v>
      </c>
      <c r="D4">
        <v>4</v>
      </c>
    </row>
    <row r="5" spans="1:11" x14ac:dyDescent="0.3">
      <c r="A5" t="s">
        <v>187</v>
      </c>
      <c r="B5" t="s">
        <v>8</v>
      </c>
      <c r="C5" t="s">
        <v>9</v>
      </c>
      <c r="D5">
        <v>90.644835999928105</v>
      </c>
    </row>
    <row r="6" spans="1:11" x14ac:dyDescent="0.3">
      <c r="A6" t="s">
        <v>188</v>
      </c>
      <c r="B6" t="s">
        <v>142</v>
      </c>
      <c r="C6" t="s">
        <v>143</v>
      </c>
      <c r="D6">
        <f>D5*1000/clight*1000</f>
        <v>0.302358627047009</v>
      </c>
    </row>
    <row r="7" spans="1:11" x14ac:dyDescent="0.3">
      <c r="A7" t="s">
        <v>189</v>
      </c>
      <c r="B7" t="s">
        <v>68</v>
      </c>
      <c r="C7" t="s">
        <v>49</v>
      </c>
      <c r="D7">
        <v>-20.228963294834699</v>
      </c>
    </row>
    <row r="8" spans="1:11" x14ac:dyDescent="0.3">
      <c r="A8" t="s">
        <v>190</v>
      </c>
      <c r="B8" t="s">
        <v>69</v>
      </c>
      <c r="C8" t="s">
        <v>49</v>
      </c>
      <c r="D8">
        <v>0.5585</v>
      </c>
    </row>
    <row r="9" spans="1:11" ht="20.399999999999999" thickBot="1" x14ac:dyDescent="0.45">
      <c r="B9" s="4" t="s">
        <v>70</v>
      </c>
    </row>
    <row r="10" spans="1:11" ht="15" thickTop="1" x14ac:dyDescent="0.3">
      <c r="A10" t="s">
        <v>191</v>
      </c>
      <c r="B10" t="s">
        <v>6</v>
      </c>
      <c r="D10" t="s">
        <v>7</v>
      </c>
    </row>
    <row r="11" spans="1:11" x14ac:dyDescent="0.3">
      <c r="A11" t="s">
        <v>203</v>
      </c>
      <c r="B11" t="s">
        <v>95</v>
      </c>
      <c r="D11">
        <v>10</v>
      </c>
      <c r="E11">
        <v>2</v>
      </c>
      <c r="F11">
        <v>1</v>
      </c>
      <c r="G11">
        <v>1</v>
      </c>
    </row>
    <row r="12" spans="1:11" x14ac:dyDescent="0.3">
      <c r="A12" t="s">
        <v>192</v>
      </c>
      <c r="B12" t="s">
        <v>91</v>
      </c>
      <c r="D12">
        <v>11200</v>
      </c>
      <c r="E12">
        <v>1852</v>
      </c>
      <c r="F12">
        <v>300</v>
      </c>
      <c r="G12">
        <v>64</v>
      </c>
    </row>
    <row r="13" spans="1:11" x14ac:dyDescent="0.3">
      <c r="A13" t="s">
        <v>259</v>
      </c>
      <c r="B13" t="s">
        <v>96</v>
      </c>
      <c r="D13">
        <f>D12/D11</f>
        <v>1120</v>
      </c>
      <c r="E13">
        <f t="shared" ref="E13:G13" si="0">E12/E11</f>
        <v>926</v>
      </c>
      <c r="F13">
        <f t="shared" si="0"/>
        <v>300</v>
      </c>
      <c r="G13">
        <f t="shared" si="0"/>
        <v>64</v>
      </c>
    </row>
    <row r="14" spans="1:11" x14ac:dyDescent="0.3">
      <c r="A14" t="s">
        <v>193</v>
      </c>
      <c r="B14" t="s">
        <v>117</v>
      </c>
      <c r="C14" s="1">
        <v>10000000000</v>
      </c>
      <c r="D14">
        <v>21.6</v>
      </c>
      <c r="E14">
        <v>13.8</v>
      </c>
      <c r="F14">
        <v>16.899999999999999</v>
      </c>
      <c r="G14">
        <v>14.8</v>
      </c>
    </row>
    <row r="15" spans="1:11" x14ac:dyDescent="0.3">
      <c r="A15" t="s">
        <v>194</v>
      </c>
      <c r="B15" t="s">
        <v>122</v>
      </c>
      <c r="C15" s="1" t="s">
        <v>33</v>
      </c>
      <c r="D15">
        <v>5</v>
      </c>
      <c r="E15">
        <v>3</v>
      </c>
      <c r="F15">
        <v>3</v>
      </c>
      <c r="G15">
        <v>3</v>
      </c>
    </row>
    <row r="16" spans="1:11" x14ac:dyDescent="0.3">
      <c r="A16" t="s">
        <v>195</v>
      </c>
      <c r="B16" t="s">
        <v>97</v>
      </c>
      <c r="C16" s="1">
        <v>10000000000</v>
      </c>
      <c r="D16" s="6">
        <v>2.5</v>
      </c>
      <c r="E16" s="6">
        <v>2.5</v>
      </c>
      <c r="F16" s="6">
        <v>1</v>
      </c>
      <c r="G16" s="6">
        <v>1</v>
      </c>
    </row>
    <row r="17" spans="1:8" x14ac:dyDescent="0.3">
      <c r="A17" t="s">
        <v>196</v>
      </c>
      <c r="B17" t="s">
        <v>98</v>
      </c>
      <c r="C17" t="s">
        <v>13</v>
      </c>
      <c r="D17" s="6">
        <f>D16*10000000000000000000*echarge</f>
        <v>4.0054415849999998</v>
      </c>
      <c r="E17" s="6">
        <f>E16*10000000000000000000*echarge</f>
        <v>4.0054415849999998</v>
      </c>
      <c r="F17" s="6">
        <f>F16*10000000000000000000*echarge</f>
        <v>1.6021766339999999</v>
      </c>
      <c r="G17" s="6">
        <f>G16*10000000000000000000*echarge</f>
        <v>1.6021766339999999</v>
      </c>
    </row>
    <row r="18" spans="1:8" x14ac:dyDescent="0.3">
      <c r="A18" t="s">
        <v>197</v>
      </c>
      <c r="B18" t="s">
        <v>177</v>
      </c>
      <c r="C18" t="s">
        <v>169</v>
      </c>
      <c r="D18" s="6">
        <f>D17*D13/$D$6/1000</f>
        <v>14.836998762077746</v>
      </c>
      <c r="E18" s="6">
        <f t="shared" ref="E18:G18" si="1">E17*E13/$D$6/1000</f>
        <v>12.26701861936071</v>
      </c>
      <c r="F18" s="6">
        <f t="shared" si="1"/>
        <v>1.5896784387940444</v>
      </c>
      <c r="G18" s="6">
        <f t="shared" si="1"/>
        <v>0.33913140027606276</v>
      </c>
    </row>
    <row r="19" spans="1:8" x14ac:dyDescent="0.3">
      <c r="A19" t="s">
        <v>202</v>
      </c>
      <c r="B19" t="s">
        <v>99</v>
      </c>
      <c r="C19" s="1">
        <v>10000000000</v>
      </c>
      <c r="D19">
        <f>2*D15/100*D14</f>
        <v>2.16</v>
      </c>
      <c r="E19">
        <f t="shared" ref="E19:G19" si="2">2*E15/100*E14</f>
        <v>0.82799999999999996</v>
      </c>
      <c r="F19">
        <f t="shared" si="2"/>
        <v>1.0139999999999998</v>
      </c>
      <c r="G19">
        <f t="shared" si="2"/>
        <v>0.88800000000000001</v>
      </c>
    </row>
    <row r="20" spans="1:8" x14ac:dyDescent="0.3">
      <c r="A20" t="s">
        <v>201</v>
      </c>
      <c r="B20" t="s">
        <v>100</v>
      </c>
      <c r="C20" t="s">
        <v>13</v>
      </c>
      <c r="D20" s="1">
        <f>D19*10000000000000000000*echarge</f>
        <v>3.4607015294399996</v>
      </c>
      <c r="E20" s="1">
        <f t="shared" ref="E20:G20" si="3">E19*10000000000000000000*echarge</f>
        <v>1.3266022529519998</v>
      </c>
      <c r="F20" s="1">
        <f t="shared" si="3"/>
        <v>1.6246071068759995</v>
      </c>
      <c r="G20" s="1">
        <f t="shared" si="3"/>
        <v>1.4227328509919999</v>
      </c>
    </row>
    <row r="21" spans="1:8" x14ac:dyDescent="0.3">
      <c r="A21" t="s">
        <v>200</v>
      </c>
      <c r="B21" t="s">
        <v>178</v>
      </c>
      <c r="C21" t="s">
        <v>169</v>
      </c>
      <c r="D21" s="1">
        <f>D20*D13/$D$6/1000</f>
        <v>12.819166930435173</v>
      </c>
      <c r="E21" s="1">
        <f t="shared" ref="E21:G21" si="4">E20*E13/$D$6/1000</f>
        <v>4.0628365667322672</v>
      </c>
      <c r="F21" s="1">
        <f t="shared" si="4"/>
        <v>1.6119339369371608</v>
      </c>
      <c r="G21" s="1">
        <f t="shared" si="4"/>
        <v>0.30114868344514378</v>
      </c>
    </row>
    <row r="22" spans="1:8" x14ac:dyDescent="0.3">
      <c r="A22" t="s">
        <v>198</v>
      </c>
      <c r="B22" t="s">
        <v>123</v>
      </c>
      <c r="C22" t="s">
        <v>38</v>
      </c>
      <c r="D22" s="6">
        <v>868.1</v>
      </c>
      <c r="E22" s="6">
        <v>492.4</v>
      </c>
      <c r="F22" s="6">
        <v>376.2</v>
      </c>
      <c r="G22" s="6">
        <v>348.2</v>
      </c>
    </row>
    <row r="23" spans="1:8" x14ac:dyDescent="0.3">
      <c r="A23" t="s">
        <v>199</v>
      </c>
      <c r="B23" t="s">
        <v>124</v>
      </c>
      <c r="C23" t="s">
        <v>38</v>
      </c>
      <c r="D23" s="6">
        <f>D22*D15/100</f>
        <v>43.405000000000001</v>
      </c>
      <c r="E23" s="6">
        <f t="shared" ref="E23:G23" si="5">E22*E15/100</f>
        <v>14.771999999999998</v>
      </c>
      <c r="F23" s="6">
        <f t="shared" si="5"/>
        <v>11.286</v>
      </c>
      <c r="G23" s="6">
        <f t="shared" si="5"/>
        <v>10.446</v>
      </c>
    </row>
    <row r="24" spans="1:8" ht="20.399999999999999" thickBot="1" x14ac:dyDescent="0.45">
      <c r="B24" s="4" t="s">
        <v>72</v>
      </c>
    </row>
    <row r="25" spans="1:8" ht="15" thickTop="1" x14ac:dyDescent="0.3">
      <c r="A25" t="s">
        <v>204</v>
      </c>
      <c r="B25" t="s">
        <v>10</v>
      </c>
      <c r="C25" t="s">
        <v>11</v>
      </c>
      <c r="D25">
        <v>20</v>
      </c>
      <c r="E25">
        <v>20</v>
      </c>
      <c r="F25">
        <v>20</v>
      </c>
      <c r="G25">
        <v>20</v>
      </c>
    </row>
    <row r="26" spans="1:8" x14ac:dyDescent="0.3">
      <c r="A26" t="s">
        <v>205</v>
      </c>
      <c r="B26" t="s">
        <v>43</v>
      </c>
      <c r="C26" t="s">
        <v>44</v>
      </c>
      <c r="D26">
        <f>D25*1000000000/clight</f>
        <v>66.712819039630403</v>
      </c>
      <c r="E26">
        <f t="shared" ref="E26:G26" si="6">E25*1000000000/clight</f>
        <v>66.712819039630403</v>
      </c>
      <c r="F26">
        <f t="shared" si="6"/>
        <v>66.712819039630403</v>
      </c>
      <c r="G26">
        <f t="shared" si="6"/>
        <v>66.712819039630403</v>
      </c>
    </row>
    <row r="27" spans="1:8" x14ac:dyDescent="0.3">
      <c r="A27" t="s">
        <v>206</v>
      </c>
      <c r="B27" t="s">
        <v>135</v>
      </c>
      <c r="D27">
        <f>D25/emass</f>
        <v>39139.02367147748</v>
      </c>
      <c r="E27">
        <f t="shared" ref="E27:G27" si="7">E25/emass</f>
        <v>39139.02367147748</v>
      </c>
      <c r="F27">
        <f t="shared" si="7"/>
        <v>39139.02367147748</v>
      </c>
      <c r="G27">
        <f t="shared" si="7"/>
        <v>39139.02367147748</v>
      </c>
    </row>
    <row r="28" spans="1:8" x14ac:dyDescent="0.3">
      <c r="A28" t="s">
        <v>208</v>
      </c>
      <c r="B28" t="s">
        <v>170</v>
      </c>
      <c r="C28" t="s">
        <v>171</v>
      </c>
      <c r="D28">
        <f>D25*D13*D17/1000</f>
        <v>89.721891503999998</v>
      </c>
      <c r="E28">
        <f t="shared" ref="E28:G28" si="8">E25*E13*E17/1000</f>
        <v>74.180778154199999</v>
      </c>
      <c r="F28">
        <f t="shared" si="8"/>
        <v>9.6130598039999988</v>
      </c>
      <c r="G28">
        <f t="shared" si="8"/>
        <v>2.05078609152</v>
      </c>
    </row>
    <row r="29" spans="1:8" x14ac:dyDescent="0.3">
      <c r="A29" t="s">
        <v>209</v>
      </c>
      <c r="B29" t="s">
        <v>20</v>
      </c>
      <c r="C29" t="s">
        <v>19</v>
      </c>
      <c r="D29" s="2">
        <v>20</v>
      </c>
      <c r="E29" s="2">
        <v>20</v>
      </c>
      <c r="F29" s="2">
        <v>20</v>
      </c>
      <c r="G29" s="2">
        <v>20</v>
      </c>
      <c r="H29" t="s">
        <v>106</v>
      </c>
    </row>
    <row r="30" spans="1:8" x14ac:dyDescent="0.3">
      <c r="A30" t="s">
        <v>210</v>
      </c>
      <c r="B30" t="s">
        <v>21</v>
      </c>
      <c r="C30" t="s">
        <v>19</v>
      </c>
      <c r="D30" s="2">
        <v>2</v>
      </c>
      <c r="E30" s="2">
        <v>2</v>
      </c>
      <c r="F30" s="2">
        <v>2</v>
      </c>
      <c r="G30" s="2">
        <v>2</v>
      </c>
      <c r="H30" t="s">
        <v>106</v>
      </c>
    </row>
    <row r="31" spans="1:8" x14ac:dyDescent="0.3">
      <c r="A31" t="s">
        <v>211</v>
      </c>
      <c r="B31" s="3" t="s">
        <v>101</v>
      </c>
      <c r="C31" t="s">
        <v>28</v>
      </c>
      <c r="D31">
        <v>4</v>
      </c>
      <c r="E31">
        <v>4</v>
      </c>
      <c r="F31">
        <v>4</v>
      </c>
      <c r="G31">
        <v>4</v>
      </c>
      <c r="H31" t="s">
        <v>106</v>
      </c>
    </row>
    <row r="32" spans="1:8" x14ac:dyDescent="0.3">
      <c r="A32" t="s">
        <v>212</v>
      </c>
      <c r="B32" s="3" t="s">
        <v>30</v>
      </c>
      <c r="D32" s="1">
        <v>1E-3</v>
      </c>
      <c r="E32" s="1">
        <v>1E-3</v>
      </c>
      <c r="F32" s="1">
        <v>1E-3</v>
      </c>
      <c r="G32" s="1">
        <v>1E-3</v>
      </c>
      <c r="H32" t="s">
        <v>106</v>
      </c>
    </row>
    <row r="33" spans="1:8" ht="20.399999999999999" thickBot="1" x14ac:dyDescent="0.45">
      <c r="B33" s="4" t="s">
        <v>73</v>
      </c>
    </row>
    <row r="34" spans="1:8" ht="15" thickTop="1" x14ac:dyDescent="0.3">
      <c r="A34" t="s">
        <v>207</v>
      </c>
      <c r="B34" t="s">
        <v>12</v>
      </c>
      <c r="C34" t="s">
        <v>11</v>
      </c>
      <c r="D34">
        <v>45.6</v>
      </c>
      <c r="E34">
        <v>80</v>
      </c>
      <c r="F34">
        <v>120</v>
      </c>
      <c r="G34">
        <v>182.5</v>
      </c>
    </row>
    <row r="35" spans="1:8" x14ac:dyDescent="0.3">
      <c r="A35" t="s">
        <v>213</v>
      </c>
      <c r="B35" t="s">
        <v>45</v>
      </c>
      <c r="C35" t="s">
        <v>44</v>
      </c>
      <c r="D35">
        <f>D34*1000000000/clight</f>
        <v>152.10522741035734</v>
      </c>
      <c r="E35">
        <f t="shared" ref="E35:G35" si="9">E34*1000000000/clight</f>
        <v>266.85127615852161</v>
      </c>
      <c r="F35">
        <f t="shared" si="9"/>
        <v>400.27691423778248</v>
      </c>
      <c r="G35">
        <f t="shared" si="9"/>
        <v>608.75447373662746</v>
      </c>
    </row>
    <row r="36" spans="1:8" x14ac:dyDescent="0.3">
      <c r="A36" t="s">
        <v>214</v>
      </c>
      <c r="B36" t="s">
        <v>147</v>
      </c>
      <c r="D36">
        <f>D34/emass</f>
        <v>89236.973970968655</v>
      </c>
      <c r="E36">
        <f t="shared" ref="E36:G36" si="10">E34/emass</f>
        <v>156556.09468590992</v>
      </c>
      <c r="F36">
        <f t="shared" si="10"/>
        <v>234834.14202886488</v>
      </c>
      <c r="G36">
        <f t="shared" si="10"/>
        <v>357143.59100223199</v>
      </c>
    </row>
    <row r="37" spans="1:8" x14ac:dyDescent="0.3">
      <c r="A37" t="s">
        <v>208</v>
      </c>
      <c r="B37" t="s">
        <v>215</v>
      </c>
      <c r="C37" t="s">
        <v>171</v>
      </c>
      <c r="D37">
        <f>D34*D13*D17/1000</f>
        <v>204.56591262911999</v>
      </c>
      <c r="E37">
        <f t="shared" ref="E37:G37" si="11">E34*E13*E17/1000</f>
        <v>296.72311261679999</v>
      </c>
      <c r="F37">
        <f t="shared" si="11"/>
        <v>57.678358823999993</v>
      </c>
      <c r="G37">
        <f t="shared" si="11"/>
        <v>18.713423085119999</v>
      </c>
    </row>
    <row r="38" spans="1:8" x14ac:dyDescent="0.3">
      <c r="A38" t="s">
        <v>216</v>
      </c>
      <c r="B38" t="s">
        <v>22</v>
      </c>
      <c r="C38" t="s">
        <v>23</v>
      </c>
      <c r="D38" s="1">
        <v>0.122</v>
      </c>
      <c r="E38" s="1">
        <f t="shared" ref="E38:G39" si="12">E59</f>
        <v>0.36698033146288528</v>
      </c>
      <c r="F38" s="1">
        <f t="shared" si="12"/>
        <v>0.82570574579149192</v>
      </c>
      <c r="G38" s="1">
        <f t="shared" si="12"/>
        <v>1.9098029163727694</v>
      </c>
      <c r="H38" t="s">
        <v>136</v>
      </c>
    </row>
    <row r="39" spans="1:8" x14ac:dyDescent="0.3">
      <c r="A39" t="s">
        <v>217</v>
      </c>
      <c r="B39" t="s">
        <v>24</v>
      </c>
      <c r="C39" t="s">
        <v>25</v>
      </c>
      <c r="D39" s="1">
        <v>37</v>
      </c>
      <c r="E39" s="1">
        <f t="shared" si="12"/>
        <v>0.73396066292577056</v>
      </c>
      <c r="F39" s="1">
        <f t="shared" si="12"/>
        <v>1.6514114915829838</v>
      </c>
      <c r="G39" s="1">
        <f t="shared" si="12"/>
        <v>3.8196058327455389</v>
      </c>
      <c r="H39" t="s">
        <v>136</v>
      </c>
    </row>
    <row r="40" spans="1:8" x14ac:dyDescent="0.3">
      <c r="A40" t="s">
        <v>218</v>
      </c>
      <c r="B40" s="3" t="s">
        <v>29</v>
      </c>
      <c r="C40" t="s">
        <v>28</v>
      </c>
      <c r="D40" s="1">
        <f>(2*PI()*(1/D36^2-D$50)/$D$65/D77*$D$5*1/COS(D75*PI()/180)*D34)^0.5*D43*1000000*$D$65/2/PI()</f>
        <v>2.6151796635440099</v>
      </c>
      <c r="E40" s="1">
        <f t="shared" ref="E40:F40" si="13">E61</f>
        <v>2.7556108828441057</v>
      </c>
      <c r="F40" s="1">
        <f t="shared" si="13"/>
        <v>2.4422380572978608</v>
      </c>
      <c r="G40" s="1">
        <f>G61</f>
        <v>2.1397339036687475</v>
      </c>
      <c r="H40" t="s">
        <v>136</v>
      </c>
    </row>
    <row r="41" spans="1:8" x14ac:dyDescent="0.3">
      <c r="A41" t="s">
        <v>220</v>
      </c>
      <c r="B41" s="3" t="s">
        <v>222</v>
      </c>
      <c r="C41" t="s">
        <v>28</v>
      </c>
      <c r="D41">
        <v>5.57</v>
      </c>
      <c r="E41">
        <v>3.46</v>
      </c>
      <c r="F41">
        <v>3.26</v>
      </c>
      <c r="G41">
        <v>1.91</v>
      </c>
    </row>
    <row r="42" spans="1:8" x14ac:dyDescent="0.3">
      <c r="A42" t="s">
        <v>221</v>
      </c>
      <c r="B42" s="3" t="s">
        <v>223</v>
      </c>
      <c r="C42" t="s">
        <v>28</v>
      </c>
      <c r="D42">
        <v>15.6</v>
      </c>
      <c r="E42">
        <v>5.28</v>
      </c>
      <c r="F42">
        <v>5.59</v>
      </c>
      <c r="G42">
        <v>2.3199999999999998</v>
      </c>
    </row>
    <row r="43" spans="1:8" x14ac:dyDescent="0.3">
      <c r="A43" t="s">
        <v>219</v>
      </c>
      <c r="B43" s="3" t="s">
        <v>31</v>
      </c>
      <c r="D43" s="1">
        <f>0.000386</f>
        <v>3.86E-4</v>
      </c>
      <c r="E43" s="1">
        <f t="shared" ref="E43:F43" si="14">E62</f>
        <v>6.5975671643424413E-4</v>
      </c>
      <c r="F43" s="1">
        <f t="shared" si="14"/>
        <v>9.8963507465136625E-4</v>
      </c>
      <c r="G43" s="1">
        <f>G62</f>
        <v>1.5050700093656195E-3</v>
      </c>
    </row>
    <row r="44" spans="1:8" ht="20.399999999999999" thickBot="1" x14ac:dyDescent="0.45">
      <c r="B44" s="4" t="s">
        <v>71</v>
      </c>
    </row>
    <row r="45" spans="1:8" ht="15" thickTop="1" x14ac:dyDescent="0.3">
      <c r="A45" t="s">
        <v>224</v>
      </c>
      <c r="B45" t="s">
        <v>16</v>
      </c>
      <c r="D45" t="s">
        <v>311</v>
      </c>
      <c r="E45" t="s">
        <v>311</v>
      </c>
      <c r="F45" t="s">
        <v>311</v>
      </c>
      <c r="G45" t="s">
        <v>311</v>
      </c>
    </row>
    <row r="46" spans="1:8" x14ac:dyDescent="0.3">
      <c r="A46" t="s">
        <v>225</v>
      </c>
      <c r="B46" t="s">
        <v>179</v>
      </c>
      <c r="D46">
        <v>368.22500000000002</v>
      </c>
      <c r="E46">
        <v>368.22500000000002</v>
      </c>
      <c r="F46">
        <v>368.22500000000002</v>
      </c>
      <c r="G46">
        <v>368.22500000000002</v>
      </c>
    </row>
    <row r="47" spans="1:8" x14ac:dyDescent="0.3">
      <c r="A47" t="s">
        <v>230</v>
      </c>
      <c r="B47" t="s">
        <v>180</v>
      </c>
      <c r="D47">
        <v>283.29000000000002</v>
      </c>
      <c r="E47">
        <v>283.29000000000002</v>
      </c>
      <c r="F47">
        <v>283.29000000000002</v>
      </c>
      <c r="G47">
        <v>283.29000000000002</v>
      </c>
    </row>
    <row r="48" spans="1:8" x14ac:dyDescent="0.3">
      <c r="A48" t="s">
        <v>231</v>
      </c>
      <c r="B48" t="s">
        <v>181</v>
      </c>
      <c r="D48">
        <v>2</v>
      </c>
      <c r="E48">
        <v>2</v>
      </c>
      <c r="F48">
        <v>2</v>
      </c>
      <c r="G48">
        <v>2</v>
      </c>
    </row>
    <row r="49" spans="1:7" x14ac:dyDescent="0.3">
      <c r="A49" t="s">
        <v>232</v>
      </c>
      <c r="B49" t="s">
        <v>182</v>
      </c>
      <c r="D49" s="7">
        <v>2</v>
      </c>
      <c r="E49" s="7">
        <v>2</v>
      </c>
      <c r="F49" s="7">
        <v>2</v>
      </c>
      <c r="G49" s="7">
        <v>2</v>
      </c>
    </row>
    <row r="50" spans="1:7" x14ac:dyDescent="0.3">
      <c r="A50" t="s">
        <v>233</v>
      </c>
      <c r="B50" t="s">
        <v>17</v>
      </c>
      <c r="D50" s="1">
        <v>9.2375326869005792E-6</v>
      </c>
      <c r="E50" s="1">
        <v>9.2375326869005792E-6</v>
      </c>
      <c r="F50" s="1">
        <v>9.2375326869005792E-6</v>
      </c>
      <c r="G50" s="1">
        <v>9.2375326869005792E-6</v>
      </c>
    </row>
    <row r="51" spans="1:7" x14ac:dyDescent="0.3">
      <c r="A51" t="s">
        <v>226</v>
      </c>
      <c r="B51" t="s">
        <v>133</v>
      </c>
      <c r="C51" s="1">
        <v>1E-4</v>
      </c>
      <c r="D51" s="1">
        <f>0.000582402698871061/$C$51</f>
        <v>5.8240269887106102</v>
      </c>
      <c r="E51" s="1">
        <f t="shared" ref="E51:G51" si="15">0.000582402698871061/$C$51</f>
        <v>5.8240269887106102</v>
      </c>
      <c r="F51" s="1">
        <f t="shared" si="15"/>
        <v>5.8240269887106102</v>
      </c>
      <c r="G51" s="1">
        <f t="shared" si="15"/>
        <v>5.8240269887106102</v>
      </c>
    </row>
    <row r="52" spans="1:7" x14ac:dyDescent="0.3">
      <c r="A52" t="s">
        <v>227</v>
      </c>
      <c r="B52" t="s">
        <v>132</v>
      </c>
      <c r="C52" s="1">
        <v>1E-8</v>
      </c>
      <c r="D52" s="1">
        <f>5.3984227277956E-08/$C$52</f>
        <v>5.3984227277955998</v>
      </c>
      <c r="E52" s="1">
        <f t="shared" ref="E52:G52" si="16">5.3984227277956E-08/$C$52</f>
        <v>5.3984227277955998</v>
      </c>
      <c r="F52" s="1">
        <f t="shared" si="16"/>
        <v>5.3984227277955998</v>
      </c>
      <c r="G52" s="1">
        <f t="shared" si="16"/>
        <v>5.3984227277955998</v>
      </c>
    </row>
    <row r="53" spans="1:7" x14ac:dyDescent="0.3">
      <c r="A53" t="s">
        <v>228</v>
      </c>
      <c r="B53" t="s">
        <v>131</v>
      </c>
      <c r="C53" s="1">
        <v>9.9999999999999994E-12</v>
      </c>
      <c r="D53" s="1">
        <f>2.27568445057262E-11/$C$53</f>
        <v>2.2756844505726201</v>
      </c>
      <c r="E53" s="1">
        <f t="shared" ref="E53:G53" si="17">2.27568445057262E-11/$C$53</f>
        <v>2.2756844505726201</v>
      </c>
      <c r="F53" s="1">
        <f t="shared" si="17"/>
        <v>2.2756844505726201</v>
      </c>
      <c r="G53" s="1">
        <f t="shared" si="17"/>
        <v>2.2756844505726201</v>
      </c>
    </row>
    <row r="54" spans="1:7" x14ac:dyDescent="0.3">
      <c r="A54" t="s">
        <v>229</v>
      </c>
      <c r="B54" t="s">
        <v>18</v>
      </c>
      <c r="D54" s="1">
        <v>2E-3</v>
      </c>
      <c r="E54" s="1">
        <v>2E-3</v>
      </c>
      <c r="F54" s="1">
        <v>2E-3</v>
      </c>
      <c r="G54" s="1">
        <v>2E-3</v>
      </c>
    </row>
    <row r="55" spans="1:7" x14ac:dyDescent="0.3">
      <c r="A55" t="s">
        <v>234</v>
      </c>
      <c r="B55" t="s">
        <v>141</v>
      </c>
      <c r="C55" t="s">
        <v>38</v>
      </c>
      <c r="D55" s="1">
        <f>4*PI()*$D$6*0.001/(Cg*D25^3*D$51*$C$51)</f>
        <v>9.2187476675972135</v>
      </c>
      <c r="E55" s="1">
        <f t="shared" ref="E55:G55" si="18">4*PI()*$D$6*0.001/(Cg*E25^3*E$51*$C$51)</f>
        <v>9.2187476675972135</v>
      </c>
      <c r="F55" s="1">
        <f t="shared" si="18"/>
        <v>9.2187476675972135</v>
      </c>
      <c r="G55" s="1">
        <f t="shared" si="18"/>
        <v>9.2187476675972135</v>
      </c>
    </row>
    <row r="56" spans="1:7" x14ac:dyDescent="0.3">
      <c r="A56" t="s">
        <v>236</v>
      </c>
      <c r="B56" t="s">
        <v>145</v>
      </c>
      <c r="C56" t="s">
        <v>38</v>
      </c>
      <c r="D56" s="1">
        <f>D55/2</f>
        <v>4.6093738337986068</v>
      </c>
      <c r="E56" s="1">
        <f t="shared" ref="E56:G56" si="19">E55/2</f>
        <v>4.6093738337986068</v>
      </c>
      <c r="F56" s="1">
        <f t="shared" si="19"/>
        <v>4.6093738337986068</v>
      </c>
      <c r="G56" s="1">
        <f t="shared" si="19"/>
        <v>4.6093738337986068</v>
      </c>
    </row>
    <row r="57" spans="1:7" x14ac:dyDescent="0.3">
      <c r="A57" t="s">
        <v>235</v>
      </c>
      <c r="B57" t="s">
        <v>144</v>
      </c>
      <c r="C57" t="s">
        <v>38</v>
      </c>
      <c r="D57" s="1">
        <f>4*PI()*$D$6*0.001/(Cg*D34^3*D$51*$C$51)</f>
        <v>0.77779901133523655</v>
      </c>
      <c r="E57" s="1">
        <f t="shared" ref="E57:G57" si="20">4*PI()*$D$6*0.001/(Cg*E34^3*E$51*$C$51)</f>
        <v>0.14404293230620646</v>
      </c>
      <c r="F57" s="1">
        <f t="shared" si="20"/>
        <v>4.2679387349987101E-2</v>
      </c>
      <c r="G57" s="1">
        <f t="shared" si="20"/>
        <v>1.2133142782474219E-2</v>
      </c>
    </row>
    <row r="58" spans="1:7" x14ac:dyDescent="0.3">
      <c r="A58" t="s">
        <v>237</v>
      </c>
      <c r="B58" t="s">
        <v>146</v>
      </c>
      <c r="C58" t="s">
        <v>38</v>
      </c>
      <c r="D58" s="1">
        <f>D57/2</f>
        <v>0.38889950566761827</v>
      </c>
      <c r="E58" s="1">
        <f t="shared" ref="E58:G58" si="21">E57/2</f>
        <v>7.2021466153103231E-2</v>
      </c>
      <c r="F58" s="1">
        <f t="shared" si="21"/>
        <v>2.133969367499355E-2</v>
      </c>
      <c r="G58" s="1">
        <f t="shared" si="21"/>
        <v>6.0665713912371093E-3</v>
      </c>
    </row>
    <row r="59" spans="1:7" x14ac:dyDescent="0.3">
      <c r="A59" t="s">
        <v>238</v>
      </c>
      <c r="B59" t="s">
        <v>102</v>
      </c>
      <c r="C59" t="s">
        <v>23</v>
      </c>
      <c r="D59" s="1">
        <f>Cq*D36^2*D53*$C$53/D51/$C$51*1000000000</f>
        <v>0.11923190969229142</v>
      </c>
      <c r="E59" s="1">
        <f t="shared" ref="E59:G59" si="22">Cq*E36^2*E53*$C$53/E51/$C$51*1000000000</f>
        <v>0.36698033146288528</v>
      </c>
      <c r="F59" s="1">
        <f t="shared" si="22"/>
        <v>0.82570574579149192</v>
      </c>
      <c r="G59" s="1">
        <f t="shared" si="22"/>
        <v>1.9098029163727694</v>
      </c>
    </row>
    <row r="60" spans="1:7" x14ac:dyDescent="0.3">
      <c r="A60" t="s">
        <v>239</v>
      </c>
      <c r="B60" t="s">
        <v>103</v>
      </c>
      <c r="C60" t="s">
        <v>25</v>
      </c>
      <c r="D60" s="1">
        <f>D54*D59*1000</f>
        <v>0.23846381938458286</v>
      </c>
      <c r="E60" s="1">
        <f>E54*E59*1000</f>
        <v>0.73396066292577056</v>
      </c>
      <c r="F60" s="1">
        <f>F54*F59*1000</f>
        <v>1.6514114915829838</v>
      </c>
      <c r="G60" s="1">
        <f>G54*G59*1000</f>
        <v>3.8196058327455389</v>
      </c>
    </row>
    <row r="61" spans="1:7" x14ac:dyDescent="0.3">
      <c r="A61" t="s">
        <v>240</v>
      </c>
      <c r="B61" s="3" t="s">
        <v>104</v>
      </c>
      <c r="C61" t="s">
        <v>28</v>
      </c>
      <c r="D61" s="1">
        <f>(2*PI()*(1/D36^2-D$50)/$D$65/D77*$D$5*1/COS(D75*PI()/180)*D34)^0.5*D62*1000000*$D$65/2/PI()</f>
        <v>2.5478443994613529</v>
      </c>
      <c r="E61" s="1">
        <f t="shared" ref="E61:F61" si="23">(2*PI()*(1/E36^2-E$50)/$D$65/E77*$D$5*1/COS(E75*PI()/180)*E34)^0.5*E62*1000000*$D$65/2/PI()</f>
        <v>2.7556108828441057</v>
      </c>
      <c r="F61" s="1">
        <f t="shared" si="23"/>
        <v>2.4422380572978608</v>
      </c>
      <c r="G61" s="1">
        <f>(2*PI()*(1/G36^2-G$50)/$D$65/G77*$D$5*1/COS(G75*PI()/180)*G34)^0.5*G62*1000000*$D$65/2/PI()</f>
        <v>2.1397339036687475</v>
      </c>
    </row>
    <row r="62" spans="1:7" x14ac:dyDescent="0.3">
      <c r="A62" t="s">
        <v>309</v>
      </c>
      <c r="B62" s="3" t="s">
        <v>105</v>
      </c>
      <c r="D62" s="1">
        <f>(Cq*D36^2*D52*$C$52/(2*D51*$C$51))^0.5</f>
        <v>3.7606132836751917E-4</v>
      </c>
      <c r="E62" s="1">
        <f t="shared" ref="E62:G62" si="24">(Cq*E36^2*E52*$C$52/(2*E51*$C$51))^0.5</f>
        <v>6.5975671643424413E-4</v>
      </c>
      <c r="F62" s="1">
        <f t="shared" si="24"/>
        <v>9.8963507465136625E-4</v>
      </c>
      <c r="G62" s="1">
        <f t="shared" si="24"/>
        <v>1.5050700093656195E-3</v>
      </c>
    </row>
    <row r="63" spans="1:7" ht="20.399999999999999" thickBot="1" x14ac:dyDescent="0.45">
      <c r="B63" s="4" t="s">
        <v>74</v>
      </c>
    </row>
    <row r="64" spans="1:7" ht="15" thickTop="1" x14ac:dyDescent="0.3">
      <c r="A64" t="s">
        <v>241</v>
      </c>
      <c r="B64" t="s">
        <v>14</v>
      </c>
      <c r="C64" t="s">
        <v>15</v>
      </c>
      <c r="D64">
        <v>800</v>
      </c>
      <c r="E64">
        <v>800</v>
      </c>
      <c r="F64">
        <v>800</v>
      </c>
      <c r="G64">
        <v>800</v>
      </c>
    </row>
    <row r="65" spans="1:8" x14ac:dyDescent="0.3">
      <c r="A65" t="s">
        <v>242</v>
      </c>
      <c r="B65" t="s">
        <v>137</v>
      </c>
      <c r="C65" t="s">
        <v>49</v>
      </c>
      <c r="D65">
        <f>clight/(D64*1000000)</f>
        <v>0.37474057249999998</v>
      </c>
      <c r="E65">
        <f t="shared" ref="E65:G65" si="25">clight/(E64*1000000)</f>
        <v>0.37474057249999998</v>
      </c>
      <c r="F65">
        <f t="shared" si="25"/>
        <v>0.37474057249999998</v>
      </c>
      <c r="G65">
        <f t="shared" si="25"/>
        <v>0.37474057249999998</v>
      </c>
    </row>
    <row r="66" spans="1:8" x14ac:dyDescent="0.3">
      <c r="A66" t="s">
        <v>243</v>
      </c>
      <c r="B66" s="3" t="s">
        <v>32</v>
      </c>
      <c r="C66" t="s">
        <v>33</v>
      </c>
      <c r="D66">
        <v>3</v>
      </c>
      <c r="E66">
        <v>3</v>
      </c>
      <c r="F66">
        <v>3</v>
      </c>
      <c r="G66">
        <v>3</v>
      </c>
      <c r="H66" t="s">
        <v>167</v>
      </c>
    </row>
    <row r="67" spans="1:8" x14ac:dyDescent="0.3">
      <c r="A67" t="s">
        <v>244</v>
      </c>
      <c r="B67" s="3" t="s">
        <v>34</v>
      </c>
      <c r="C67" t="s">
        <v>33</v>
      </c>
      <c r="D67" s="1">
        <f>MAX(15*D62*100, 1)</f>
        <v>1</v>
      </c>
      <c r="E67" s="1">
        <f t="shared" ref="E67:G67" si="26">MAX(15*E62*100, 1)</f>
        <v>1</v>
      </c>
      <c r="F67" s="1">
        <f t="shared" si="26"/>
        <v>1.4844526119770494</v>
      </c>
      <c r="G67" s="1">
        <f t="shared" si="26"/>
        <v>2.2576050140484289</v>
      </c>
      <c r="H67" t="s">
        <v>167</v>
      </c>
    </row>
    <row r="68" spans="1:8" x14ac:dyDescent="0.3">
      <c r="A68" t="s">
        <v>249</v>
      </c>
      <c r="B68" s="3" t="s">
        <v>26</v>
      </c>
      <c r="C68" t="s">
        <v>134</v>
      </c>
      <c r="D68" s="1">
        <f>Cg/2/PI()*D25^4*D51*$C$51*1000</f>
        <v>1.3119292899609916</v>
      </c>
      <c r="E68" s="1">
        <f t="shared" ref="E68:G68" si="27">Cg/2/PI()*E25^4*E51*$C$51*1000</f>
        <v>1.3119292899609916</v>
      </c>
      <c r="F68" s="1">
        <f t="shared" si="27"/>
        <v>1.3119292899609916</v>
      </c>
      <c r="G68" s="1">
        <f t="shared" si="27"/>
        <v>1.3119292899609916</v>
      </c>
    </row>
    <row r="69" spans="1:8" x14ac:dyDescent="0.3">
      <c r="A69" t="s">
        <v>250</v>
      </c>
      <c r="B69" s="3" t="s">
        <v>27</v>
      </c>
      <c r="C69" t="s">
        <v>134</v>
      </c>
      <c r="D69" s="1">
        <f>Cg/2/PI()*D34^4*D51*$C$51*1000</f>
        <v>35.452740855699254</v>
      </c>
      <c r="E69" s="1">
        <f t="shared" ref="E69:G69" si="28">Cg/2/PI()*E34^4*E51*$C$51*1000</f>
        <v>335.85389823001384</v>
      </c>
      <c r="F69" s="1">
        <f t="shared" si="28"/>
        <v>1700.2603597894449</v>
      </c>
      <c r="G69" s="1">
        <f t="shared" si="28"/>
        <v>9095.8213259939257</v>
      </c>
    </row>
    <row r="70" spans="1:8" x14ac:dyDescent="0.3">
      <c r="A70" t="s">
        <v>245</v>
      </c>
      <c r="B70" s="3" t="s">
        <v>173</v>
      </c>
      <c r="C70" t="s">
        <v>172</v>
      </c>
      <c r="D70" s="1">
        <f>D68/$D$6/1000000*D$17*D$13</f>
        <v>1.9465093251084774E-2</v>
      </c>
      <c r="E70" s="1">
        <f t="shared" ref="E70:G70" si="29">E68/$D$6/1000000*E$17*E$13</f>
        <v>1.6093461027236161E-2</v>
      </c>
      <c r="F70" s="1">
        <f t="shared" si="29"/>
        <v>2.0855457054733684E-3</v>
      </c>
      <c r="G70" s="1">
        <f t="shared" si="29"/>
        <v>4.4491641716765194E-4</v>
      </c>
    </row>
    <row r="71" spans="1:8" x14ac:dyDescent="0.3">
      <c r="A71" t="s">
        <v>246</v>
      </c>
      <c r="B71" s="3" t="s">
        <v>174</v>
      </c>
      <c r="C71" t="s">
        <v>172</v>
      </c>
      <c r="D71" s="1">
        <f>D69/$D$6/1000000*D$17*D$13</f>
        <v>0.52601227218827296</v>
      </c>
      <c r="E71" s="1">
        <f t="shared" ref="E71:G71" si="30">E69/$D$6/1000000*E$17*E$13</f>
        <v>4.1199260229724572</v>
      </c>
      <c r="F71" s="1">
        <f t="shared" si="30"/>
        <v>2.7028672342934845</v>
      </c>
      <c r="G71" s="1">
        <f t="shared" si="30"/>
        <v>3.0846786229451943</v>
      </c>
    </row>
    <row r="72" spans="1:8" x14ac:dyDescent="0.3">
      <c r="A72" t="s">
        <v>247</v>
      </c>
      <c r="B72" s="3" t="s">
        <v>175</v>
      </c>
      <c r="C72" t="s">
        <v>172</v>
      </c>
      <c r="D72" s="1">
        <f>D68/$D$6/1000000*D$20*D$13</f>
        <v>1.6817840568937242E-2</v>
      </c>
      <c r="E72" s="1">
        <f t="shared" ref="E72:G73" si="31">E68/$D$6/1000000*E$20*E$13</f>
        <v>5.3301542922206159E-3</v>
      </c>
      <c r="F72" s="1">
        <f t="shared" si="31"/>
        <v>2.1147433453499948E-3</v>
      </c>
      <c r="G72" s="1">
        <f t="shared" si="31"/>
        <v>3.950857784448749E-4</v>
      </c>
    </row>
    <row r="73" spans="1:8" x14ac:dyDescent="0.3">
      <c r="A73" t="s">
        <v>248</v>
      </c>
      <c r="B73" s="3" t="s">
        <v>176</v>
      </c>
      <c r="C73" t="s">
        <v>172</v>
      </c>
      <c r="D73" s="1">
        <f>D69/$D$6/1000000*D$20*D$13</f>
        <v>0.45447460317066785</v>
      </c>
      <c r="E73" s="1">
        <f t="shared" si="31"/>
        <v>1.3645194988084777</v>
      </c>
      <c r="F73" s="1">
        <f t="shared" si="31"/>
        <v>2.7407073755735931</v>
      </c>
      <c r="G73" s="1">
        <f t="shared" si="31"/>
        <v>2.7391946171753325</v>
      </c>
    </row>
    <row r="74" spans="1:8" x14ac:dyDescent="0.3">
      <c r="A74" t="s">
        <v>251</v>
      </c>
      <c r="B74" s="3" t="s">
        <v>138</v>
      </c>
      <c r="C74" t="s">
        <v>139</v>
      </c>
      <c r="D74" s="1">
        <f>VLOOKUP(PI()*(D$50-1/D27^2)*$D$5*1000*(D66*0.01)^2*D25*1000000000/2/D68/1000000/D$65,'tanx-x'!$A$1:$B$1000,2,1)*180/PI()+90</f>
        <v>178.82999999999998</v>
      </c>
      <c r="E74" s="1">
        <f>VLOOKUP(PI()*(E$50-1/E27^2)*$D$5*1000*(E66*0.01)^2*E25*1000000000/2/E68/1000000/E$65,'tanx-x'!$A$1:$B$1000,2,1)*180/PI()+90</f>
        <v>178.82999999999998</v>
      </c>
      <c r="F74" s="1">
        <f>VLOOKUP(PI()*(F$50-1/F27^2)*$D$5*1000*(F66*0.01)^2*F25*1000000000/2/F68/1000000/F$65,'tanx-x'!$A$1:$B$1000,2,1)*180/PI()+90</f>
        <v>178.82999999999998</v>
      </c>
      <c r="G74" s="1">
        <f>VLOOKUP(PI()*(G$50-1/G27^2)*$D$5*1000*(G66*0.01)^2*G25*1000000000/2/G68/1000000/G$65,'tanx-x'!$A$1:$B$1000,2,1)*180/PI()+90</f>
        <v>178.82999999999998</v>
      </c>
    </row>
    <row r="75" spans="1:8" x14ac:dyDescent="0.3">
      <c r="A75" t="s">
        <v>252</v>
      </c>
      <c r="B75" s="3" t="s">
        <v>140</v>
      </c>
      <c r="C75" t="s">
        <v>139</v>
      </c>
      <c r="D75" s="1">
        <f>VLOOKUP(PI()*(D$50-1/D36^2)*$D$5*1000*(D67*0.01)^2*D34*1000000000/2/D69/1000000/D$65,'tanx-x'!$A$1:$B$1000,2,1)*180/PI()+90</f>
        <v>144.44999999999999</v>
      </c>
      <c r="E75" s="1">
        <f>VLOOKUP(PI()*(E$50-1/E36^2)*$D$5*1000*(E67*0.01)^2*E34*1000000000/2/E69/1000000/E$65,'tanx-x'!$A$1:$B$1000,2,1)*180/PI()+90</f>
        <v>124.28999999999999</v>
      </c>
      <c r="F75" s="1">
        <f>VLOOKUP(PI()*(F$50-1/F36^2)*$D$5*1000*(F67*0.01)^2*F34*1000000000/2/F69/1000000/F$65,'tanx-x'!$A$1:$B$1000,2,1)*180/PI()+90</f>
        <v>120.06</v>
      </c>
      <c r="G75" s="1">
        <f>VLOOKUP(PI()*(G$50-1/G36^2)*$D$5*1000*(G67*0.01)^2*G34*1000000000/2/G69/1000000/G$65,'tanx-x'!$A$1:$B$1000,2,1)*180/PI()+90</f>
        <v>116.37</v>
      </c>
    </row>
    <row r="76" spans="1:8" x14ac:dyDescent="0.3">
      <c r="A76" t="s">
        <v>253</v>
      </c>
      <c r="B76" s="3" t="s">
        <v>35</v>
      </c>
      <c r="C76" t="s">
        <v>36</v>
      </c>
      <c r="D76" s="1">
        <f t="shared" ref="D76:G77" si="32">D68/SIN(D74*PI()/180)</f>
        <v>64.250628760571914</v>
      </c>
      <c r="E76" s="1">
        <f t="shared" si="32"/>
        <v>64.250628760571914</v>
      </c>
      <c r="F76" s="1">
        <f t="shared" si="32"/>
        <v>64.250628760571914</v>
      </c>
      <c r="G76" s="1">
        <f t="shared" si="32"/>
        <v>64.250628760571914</v>
      </c>
    </row>
    <row r="77" spans="1:8" x14ac:dyDescent="0.3">
      <c r="A77" t="s">
        <v>254</v>
      </c>
      <c r="B77" s="3" t="s">
        <v>37</v>
      </c>
      <c r="C77" t="s">
        <v>36</v>
      </c>
      <c r="D77" s="1">
        <f t="shared" si="32"/>
        <v>60.976843683333072</v>
      </c>
      <c r="E77" s="1">
        <f t="shared" si="32"/>
        <v>406.50601042441281</v>
      </c>
      <c r="F77" s="1">
        <f t="shared" si="32"/>
        <v>1964.4803541692932</v>
      </c>
      <c r="G77" s="1">
        <f t="shared" si="32"/>
        <v>10152.215740045911</v>
      </c>
    </row>
    <row r="78" spans="1:8" x14ac:dyDescent="0.3">
      <c r="A78" t="s">
        <v>255</v>
      </c>
      <c r="B78" s="3" t="s">
        <v>148</v>
      </c>
      <c r="D78" s="1">
        <f>((1/D27^2-D$50)/2/PI()/$D$65*D76*$D$5/D25*COS(D74*PI()/180))^0.5</f>
        <v>3.3795377784799921E-2</v>
      </c>
      <c r="E78" s="1">
        <f t="shared" ref="E78:G78" si="33">((1/E27^2-E$50)/2/PI()/$D$65*E76*$D$5/E25*COS(E74*PI()/180))^0.5</f>
        <v>3.3795377784799921E-2</v>
      </c>
      <c r="F78" s="1">
        <f t="shared" si="33"/>
        <v>3.3795377784799921E-2</v>
      </c>
      <c r="G78" s="1">
        <f t="shared" si="33"/>
        <v>3.3795377784799921E-2</v>
      </c>
    </row>
    <row r="79" spans="1:8" x14ac:dyDescent="0.3">
      <c r="A79" t="s">
        <v>256</v>
      </c>
      <c r="B79" s="3" t="s">
        <v>149</v>
      </c>
      <c r="D79" s="1">
        <f>((1/D36^2-D$50)/2/PI()/$D$65*D77*$D$5/D34*COS(D75*PI()/180))^0.5</f>
        <v>1.9669759854480721E-2</v>
      </c>
      <c r="E79" s="1">
        <f t="shared" ref="E79:G79" si="34">((1/E36^2-E$50)/2/PI()/$D$65*E77*$D$5/E34*COS(E75*PI()/180))^0.5</f>
        <v>3.190679617528893E-2</v>
      </c>
      <c r="F79" s="1">
        <f t="shared" si="34"/>
        <v>5.4001449770537044E-2</v>
      </c>
      <c r="G79" s="1">
        <f t="shared" si="34"/>
        <v>9.3738014994711835E-2</v>
      </c>
    </row>
    <row r="80" spans="1:8" ht="20.399999999999999" thickBot="1" x14ac:dyDescent="0.45">
      <c r="B80" s="4" t="s">
        <v>75</v>
      </c>
    </row>
    <row r="81" spans="1:8" ht="15" thickTop="1" x14ac:dyDescent="0.3">
      <c r="A81" t="s">
        <v>260</v>
      </c>
      <c r="B81" s="3" t="s">
        <v>107</v>
      </c>
      <c r="D81">
        <v>2</v>
      </c>
      <c r="E81">
        <v>2</v>
      </c>
      <c r="F81">
        <v>2</v>
      </c>
      <c r="G81">
        <v>2</v>
      </c>
    </row>
    <row r="82" spans="1:8" x14ac:dyDescent="0.3">
      <c r="A82" t="s">
        <v>258</v>
      </c>
      <c r="B82" s="3" t="s">
        <v>108</v>
      </c>
      <c r="C82" t="s">
        <v>109</v>
      </c>
      <c r="D82">
        <v>200</v>
      </c>
      <c r="E82">
        <v>100</v>
      </c>
      <c r="F82">
        <v>50</v>
      </c>
      <c r="G82">
        <v>50</v>
      </c>
    </row>
    <row r="83" spans="1:8" x14ac:dyDescent="0.3">
      <c r="A83" t="s">
        <v>257</v>
      </c>
      <c r="B83" s="3" t="s">
        <v>111</v>
      </c>
      <c r="D83">
        <f>D13/D81</f>
        <v>560</v>
      </c>
      <c r="E83">
        <f>E13/E81</f>
        <v>463</v>
      </c>
      <c r="F83">
        <f>F13/F81</f>
        <v>150</v>
      </c>
      <c r="G83">
        <f>G13/G81</f>
        <v>32</v>
      </c>
    </row>
    <row r="84" spans="1:8" x14ac:dyDescent="0.3">
      <c r="A84" t="s">
        <v>262</v>
      </c>
      <c r="B84" s="3" t="s">
        <v>110</v>
      </c>
      <c r="C84" t="s">
        <v>38</v>
      </c>
      <c r="D84">
        <f>D83/D82</f>
        <v>2.8</v>
      </c>
      <c r="E84">
        <f t="shared" ref="E84:G84" si="35">E83/E82</f>
        <v>4.63</v>
      </c>
      <c r="F84">
        <f t="shared" si="35"/>
        <v>3</v>
      </c>
      <c r="G84">
        <f t="shared" si="35"/>
        <v>0.64</v>
      </c>
    </row>
    <row r="85" spans="1:8" x14ac:dyDescent="0.3">
      <c r="A85" t="s">
        <v>261</v>
      </c>
      <c r="B85" s="3" t="s">
        <v>113</v>
      </c>
      <c r="C85" t="s">
        <v>114</v>
      </c>
      <c r="D85">
        <v>80</v>
      </c>
      <c r="E85">
        <v>80</v>
      </c>
      <c r="F85">
        <v>80</v>
      </c>
      <c r="G85">
        <v>80</v>
      </c>
    </row>
    <row r="86" spans="1:8" x14ac:dyDescent="0.3">
      <c r="A86" t="s">
        <v>266</v>
      </c>
      <c r="B86" s="3" t="s">
        <v>112</v>
      </c>
      <c r="C86" t="s">
        <v>38</v>
      </c>
      <c r="D86">
        <v>0.70599999999999996</v>
      </c>
      <c r="E86">
        <f>(E34-E25)/E85</f>
        <v>0.75</v>
      </c>
      <c r="F86">
        <f>(F34-F25)/F85</f>
        <v>1.25</v>
      </c>
      <c r="G86">
        <f>(G34-G25)/G85</f>
        <v>2.03125</v>
      </c>
    </row>
    <row r="87" spans="1:8" x14ac:dyDescent="0.3">
      <c r="A87" t="s">
        <v>264</v>
      </c>
      <c r="B87" s="3" t="s">
        <v>39</v>
      </c>
      <c r="C87" t="s">
        <v>38</v>
      </c>
      <c r="D87">
        <v>0.1</v>
      </c>
      <c r="E87">
        <v>0.1</v>
      </c>
      <c r="F87">
        <v>0.1</v>
      </c>
      <c r="G87">
        <v>0.1</v>
      </c>
      <c r="H87" t="s">
        <v>168</v>
      </c>
    </row>
    <row r="88" spans="1:8" x14ac:dyDescent="0.3">
      <c r="A88" t="s">
        <v>265</v>
      </c>
      <c r="B88" s="3" t="s">
        <v>183</v>
      </c>
      <c r="C88" t="s">
        <v>38</v>
      </c>
      <c r="D88">
        <f>1.14-D87-D86</f>
        <v>0.33399999999999985</v>
      </c>
      <c r="E88">
        <f t="shared" ref="E88:G88" si="36">E86</f>
        <v>0.75</v>
      </c>
      <c r="F88">
        <f t="shared" si="36"/>
        <v>1.25</v>
      </c>
      <c r="G88">
        <f t="shared" si="36"/>
        <v>2.03125</v>
      </c>
    </row>
    <row r="89" spans="1:8" x14ac:dyDescent="0.3">
      <c r="A89" t="s">
        <v>263</v>
      </c>
      <c r="B89" s="3" t="s">
        <v>115</v>
      </c>
      <c r="C89" t="s">
        <v>38</v>
      </c>
      <c r="D89">
        <f>D86+D87+D88</f>
        <v>1.1399999999999997</v>
      </c>
      <c r="E89">
        <f t="shared" ref="E89:G89" si="37">E86+E87+E88</f>
        <v>1.6</v>
      </c>
      <c r="F89">
        <f t="shared" si="37"/>
        <v>2.6</v>
      </c>
      <c r="G89">
        <f t="shared" si="37"/>
        <v>4.1624999999999996</v>
      </c>
    </row>
    <row r="90" spans="1:8" x14ac:dyDescent="0.3">
      <c r="A90" t="s">
        <v>267</v>
      </c>
      <c r="B90" s="3" t="s">
        <v>119</v>
      </c>
      <c r="C90" t="s">
        <v>38</v>
      </c>
      <c r="D90">
        <f>(D84+D89)</f>
        <v>3.9399999999999995</v>
      </c>
      <c r="E90">
        <f t="shared" ref="E90:G90" si="38">(E84+E89)</f>
        <v>6.23</v>
      </c>
      <c r="F90">
        <f t="shared" si="38"/>
        <v>5.6</v>
      </c>
      <c r="G90">
        <f t="shared" si="38"/>
        <v>4.8024999999999993</v>
      </c>
    </row>
    <row r="91" spans="1:8" x14ac:dyDescent="0.3">
      <c r="A91" t="s">
        <v>268</v>
      </c>
      <c r="B91" s="3" t="s">
        <v>116</v>
      </c>
      <c r="C91" t="s">
        <v>38</v>
      </c>
      <c r="D91">
        <f>D11*D90</f>
        <v>39.399999999999991</v>
      </c>
      <c r="E91">
        <f>E11*E90</f>
        <v>12.46</v>
      </c>
      <c r="F91">
        <f>F11*F90</f>
        <v>5.6</v>
      </c>
      <c r="G91">
        <f>G11*G90</f>
        <v>4.8024999999999993</v>
      </c>
    </row>
    <row r="92" spans="1:8" x14ac:dyDescent="0.3">
      <c r="A92" t="s">
        <v>269</v>
      </c>
      <c r="B92" s="3" t="s">
        <v>118</v>
      </c>
      <c r="D92">
        <f>INT(-D22/D91/2*LN(1-D14/D16/2*(1-EXP(-2*D91/D22))))</f>
        <v>5</v>
      </c>
      <c r="E92">
        <f>INT(-E22/E91/2*LN(1-E14/E16/2*(1-EXP(-2*E91/E22))))</f>
        <v>2</v>
      </c>
      <c r="F92">
        <f>INT(-F22/F91/2*LN(1-F14/F16/2*(1-EXP(-2*F91/F22))))</f>
        <v>9</v>
      </c>
      <c r="G92">
        <f>INT(-G22/G91/2*LN(1-G14/G16/2*(1-EXP(-2*G91/G22))))</f>
        <v>8</v>
      </c>
    </row>
    <row r="93" spans="1:8" x14ac:dyDescent="0.3">
      <c r="A93" t="s">
        <v>270</v>
      </c>
      <c r="B93" s="3" t="s">
        <v>120</v>
      </c>
      <c r="D93">
        <f>CEILING(D22/D91/2*LN((D16*(1-EXP(-D92*2*D91/D22))-D19)/(D14*(1-EXP(-2*D91/D22))-D19)),1)</f>
        <v>17</v>
      </c>
      <c r="E93">
        <f>CEILING(E22/E91/2*LN((E16*(1-EXP(-E92*2*E91/E22))-E19)/(E14*(1-EXP(-2*E91/E22))-E19)),1)</f>
        <v>28</v>
      </c>
      <c r="F93">
        <f>CEILING(F22/F91/2*LN((F16*(1-EXP(-F92*2*F91/F22))-F19)/(F14*(1-EXP(-2*F91/F22))-F19)),1)</f>
        <v>14</v>
      </c>
      <c r="G93">
        <f>CEILING(G22/G91/2*LN((G16*(1-EXP(-G92*2*G91/G22))-G19)/(G14*(1-EXP(-2*G91/G22))-G19)),1)</f>
        <v>13</v>
      </c>
    </row>
    <row r="94" spans="1:8" x14ac:dyDescent="0.3">
      <c r="A94" t="s">
        <v>271</v>
      </c>
      <c r="B94" s="3" t="s">
        <v>121</v>
      </c>
      <c r="C94" t="s">
        <v>38</v>
      </c>
      <c r="D94">
        <f>(D92+D93)*D91*2</f>
        <v>1733.5999999999997</v>
      </c>
      <c r="E94">
        <f t="shared" ref="E94:G94" si="39">(E92+E93)*E91*2</f>
        <v>747.6</v>
      </c>
      <c r="F94">
        <f t="shared" si="39"/>
        <v>257.59999999999997</v>
      </c>
      <c r="G94">
        <f t="shared" si="39"/>
        <v>201.70499999999998</v>
      </c>
    </row>
    <row r="95" spans="1:8" ht="20.399999999999999" thickBot="1" x14ac:dyDescent="0.45">
      <c r="B95" s="4" t="s">
        <v>76</v>
      </c>
    </row>
    <row r="96" spans="1:8" ht="15" thickTop="1" x14ac:dyDescent="0.3">
      <c r="A96" t="s">
        <v>272</v>
      </c>
      <c r="B96" s="3" t="s">
        <v>77</v>
      </c>
      <c r="D96" t="s">
        <v>78</v>
      </c>
    </row>
    <row r="97" spans="1:7" x14ac:dyDescent="0.3">
      <c r="A97" t="s">
        <v>274</v>
      </c>
      <c r="B97" s="3" t="s">
        <v>41</v>
      </c>
      <c r="D97" t="s">
        <v>42</v>
      </c>
      <c r="E97" t="s">
        <v>42</v>
      </c>
      <c r="F97" t="s">
        <v>42</v>
      </c>
      <c r="G97" t="s">
        <v>42</v>
      </c>
    </row>
    <row r="98" spans="1:7" x14ac:dyDescent="0.3">
      <c r="A98" t="s">
        <v>275</v>
      </c>
      <c r="B98" s="3" t="s">
        <v>129</v>
      </c>
      <c r="C98" t="s">
        <v>28</v>
      </c>
      <c r="D98">
        <v>60</v>
      </c>
      <c r="E98">
        <v>60</v>
      </c>
      <c r="F98">
        <v>60</v>
      </c>
      <c r="G98">
        <v>60</v>
      </c>
    </row>
    <row r="99" spans="1:7" x14ac:dyDescent="0.3">
      <c r="A99" t="s">
        <v>273</v>
      </c>
      <c r="B99" s="3" t="s">
        <v>92</v>
      </c>
      <c r="C99" t="s">
        <v>28</v>
      </c>
      <c r="D99">
        <v>2.5</v>
      </c>
      <c r="E99">
        <v>2.5</v>
      </c>
      <c r="F99">
        <v>2.5</v>
      </c>
      <c r="G99">
        <v>2.5</v>
      </c>
    </row>
    <row r="100" spans="1:7" x14ac:dyDescent="0.3">
      <c r="A100" t="s">
        <v>276</v>
      </c>
      <c r="B100" s="3" t="s">
        <v>130</v>
      </c>
      <c r="C100" t="s">
        <v>28</v>
      </c>
      <c r="D100">
        <f>D98+2*D99</f>
        <v>65</v>
      </c>
      <c r="E100">
        <f t="shared" ref="E100:G100" si="40">E98+2*E99</f>
        <v>65</v>
      </c>
      <c r="F100">
        <f t="shared" si="40"/>
        <v>65</v>
      </c>
      <c r="G100">
        <f t="shared" si="40"/>
        <v>65</v>
      </c>
    </row>
    <row r="101" spans="1:7" ht="20.399999999999999" thickBot="1" x14ac:dyDescent="0.45">
      <c r="B101" s="4" t="s">
        <v>322</v>
      </c>
    </row>
    <row r="102" spans="1:7" ht="18.600000000000001" thickTop="1" thickBot="1" x14ac:dyDescent="0.4">
      <c r="B102" s="5" t="s">
        <v>88</v>
      </c>
    </row>
    <row r="103" spans="1:7" ht="15" thickTop="1" x14ac:dyDescent="0.3">
      <c r="A103" t="s">
        <v>277</v>
      </c>
      <c r="B103" t="s">
        <v>125</v>
      </c>
      <c r="C103" t="s">
        <v>59</v>
      </c>
      <c r="D103">
        <v>1</v>
      </c>
      <c r="E103">
        <v>1</v>
      </c>
      <c r="F103">
        <v>1</v>
      </c>
      <c r="G103">
        <v>1</v>
      </c>
    </row>
    <row r="104" spans="1:7" x14ac:dyDescent="0.3">
      <c r="A104" t="s">
        <v>280</v>
      </c>
      <c r="B104" t="s">
        <v>46</v>
      </c>
      <c r="C104" t="s">
        <v>47</v>
      </c>
      <c r="D104">
        <f>2*PI()</f>
        <v>6.2831853071795862</v>
      </c>
      <c r="E104">
        <f t="shared" ref="E104:G104" si="41">2*PI()</f>
        <v>6.2831853071795862</v>
      </c>
      <c r="F104">
        <f t="shared" si="41"/>
        <v>6.2831853071795862</v>
      </c>
      <c r="G104">
        <f t="shared" si="41"/>
        <v>6.2831853071795862</v>
      </c>
    </row>
    <row r="105" spans="1:7" x14ac:dyDescent="0.3">
      <c r="A105" t="s">
        <v>281</v>
      </c>
      <c r="B105" t="s">
        <v>48</v>
      </c>
      <c r="C105" t="s">
        <v>49</v>
      </c>
      <c r="D105">
        <f>V26_LCC_dipoles!$M$4</f>
        <v>67785.430391862858</v>
      </c>
      <c r="E105">
        <f>V26_LCC_dipoles!$M$4</f>
        <v>67785.430391862858</v>
      </c>
      <c r="F105">
        <f>V26_LCC_dipoles!$M$4</f>
        <v>67785.430391862858</v>
      </c>
      <c r="G105">
        <f>V26_LCC_dipoles!$M$4</f>
        <v>67785.430391862858</v>
      </c>
    </row>
    <row r="106" spans="1:7" x14ac:dyDescent="0.3">
      <c r="A106" t="s">
        <v>283</v>
      </c>
      <c r="B106" t="s">
        <v>50</v>
      </c>
      <c r="C106" t="s">
        <v>51</v>
      </c>
      <c r="D106">
        <f>V26_LCC_dipoles!$M$3</f>
        <v>7200</v>
      </c>
      <c r="E106">
        <f>V26_LCC_dipoles!$M$3</f>
        <v>7200</v>
      </c>
      <c r="F106">
        <f>V26_LCC_dipoles!$M$3</f>
        <v>7200</v>
      </c>
      <c r="G106">
        <f>V26_LCC_dipoles!$M$3</f>
        <v>7200</v>
      </c>
    </row>
    <row r="107" spans="1:7" x14ac:dyDescent="0.3">
      <c r="A107" t="s">
        <v>278</v>
      </c>
      <c r="B107" t="s">
        <v>57</v>
      </c>
      <c r="C107" t="s">
        <v>49</v>
      </c>
      <c r="D107">
        <f>D105/D106</f>
        <v>9.4146431099809522</v>
      </c>
      <c r="E107">
        <f t="shared" ref="E107:G107" si="42">E105/E106</f>
        <v>9.4146431099809522</v>
      </c>
      <c r="F107">
        <f t="shared" si="42"/>
        <v>9.4146431099809522</v>
      </c>
      <c r="G107">
        <f t="shared" si="42"/>
        <v>9.4146431099809522</v>
      </c>
    </row>
    <row r="108" spans="1:7" x14ac:dyDescent="0.3">
      <c r="A108" t="s">
        <v>282</v>
      </c>
      <c r="B108" t="s">
        <v>60</v>
      </c>
      <c r="C108" t="s">
        <v>44</v>
      </c>
      <c r="D108">
        <f>D104*D$35</f>
        <v>955.70533000996693</v>
      </c>
      <c r="E108">
        <f>E104*E$35</f>
        <v>1676.6760175613451</v>
      </c>
      <c r="F108">
        <f>F104*F$35</f>
        <v>2515.014026342018</v>
      </c>
      <c r="G108">
        <f>G104*G$35</f>
        <v>3824.9171650618191</v>
      </c>
    </row>
    <row r="109" spans="1:7" x14ac:dyDescent="0.3">
      <c r="A109" t="s">
        <v>279</v>
      </c>
      <c r="B109" t="s">
        <v>58</v>
      </c>
      <c r="C109" t="s">
        <v>59</v>
      </c>
      <c r="D109">
        <f>D108/D105</f>
        <v>1.4098978563462693E-2</v>
      </c>
      <c r="E109">
        <f t="shared" ref="E109:G109" si="43">E108/E105</f>
        <v>2.4735050111338051E-2</v>
      </c>
      <c r="F109">
        <f t="shared" si="43"/>
        <v>3.7102575167007081E-2</v>
      </c>
      <c r="G109">
        <f t="shared" si="43"/>
        <v>5.6426833066489941E-2</v>
      </c>
    </row>
    <row r="110" spans="1:7" x14ac:dyDescent="0.3">
      <c r="A110" t="s">
        <v>299</v>
      </c>
      <c r="B110" t="s">
        <v>323</v>
      </c>
      <c r="C110" t="s">
        <v>59</v>
      </c>
      <c r="D110">
        <f>V26_LCC_dipoles!Q$11</f>
        <v>1.409897856346269E-2</v>
      </c>
      <c r="E110">
        <f>V26_LCC_dipoles!R$11</f>
        <v>2.4735050111338048E-2</v>
      </c>
      <c r="F110">
        <f>V26_LCC_dipoles!S$11</f>
        <v>3.7102575167007081E-2</v>
      </c>
      <c r="G110">
        <f>V26_LCC_dipoles!T$11</f>
        <v>5.6426833066489927E-2</v>
      </c>
    </row>
    <row r="111" spans="1:7" x14ac:dyDescent="0.3">
      <c r="A111" t="s">
        <v>285</v>
      </c>
      <c r="B111" t="s">
        <v>324</v>
      </c>
      <c r="C111" t="s">
        <v>59</v>
      </c>
      <c r="D111">
        <f>V26_LCC_dipoles!Q$12</f>
        <v>1.4098978563462698E-2</v>
      </c>
      <c r="E111">
        <f>V26_LCC_dipoles!R$12</f>
        <v>2.4735050111338062E-2</v>
      </c>
      <c r="F111">
        <f>V26_LCC_dipoles!S$12</f>
        <v>3.7102575167007101E-2</v>
      </c>
      <c r="G111">
        <f>V26_LCC_dipoles!T$12</f>
        <v>5.6426833066489962E-2</v>
      </c>
    </row>
    <row r="112" spans="1:7" ht="18" thickBot="1" x14ac:dyDescent="0.4">
      <c r="B112" s="5" t="s">
        <v>52</v>
      </c>
    </row>
    <row r="113" spans="1:7" ht="15" thickTop="1" x14ac:dyDescent="0.3">
      <c r="A113" t="s">
        <v>284</v>
      </c>
      <c r="B113" t="s">
        <v>128</v>
      </c>
      <c r="C113" t="s">
        <v>59</v>
      </c>
      <c r="D113">
        <v>1</v>
      </c>
      <c r="E113">
        <v>1</v>
      </c>
      <c r="F113">
        <v>1</v>
      </c>
      <c r="G113">
        <v>1</v>
      </c>
    </row>
    <row r="114" spans="1:7" x14ac:dyDescent="0.3">
      <c r="A114" t="s">
        <v>285</v>
      </c>
      <c r="B114" t="s">
        <v>163</v>
      </c>
      <c r="C114" t="s">
        <v>62</v>
      </c>
      <c r="D114">
        <f>D113/(D100/2/1000)</f>
        <v>30.769230769230766</v>
      </c>
      <c r="E114">
        <f t="shared" ref="E114:G114" si="44">E113/(E100/2/1000)</f>
        <v>30.769230769230766</v>
      </c>
      <c r="F114">
        <f t="shared" si="44"/>
        <v>30.769230769230766</v>
      </c>
      <c r="G114">
        <f t="shared" si="44"/>
        <v>30.769230769230766</v>
      </c>
    </row>
    <row r="115" spans="1:7" x14ac:dyDescent="0.3">
      <c r="A115" t="s">
        <v>286</v>
      </c>
      <c r="B115" t="s">
        <v>166</v>
      </c>
      <c r="C115" t="s">
        <v>56</v>
      </c>
      <c r="D115">
        <f>D114/D$35</f>
        <v>0.20228910796221319</v>
      </c>
      <c r="E115">
        <f t="shared" ref="E115:G115" si="45">E114/E$35</f>
        <v>0.11530479153846154</v>
      </c>
      <c r="F115">
        <f t="shared" si="45"/>
        <v>7.6869861025641015E-2</v>
      </c>
      <c r="G115">
        <f t="shared" si="45"/>
        <v>5.054456615384615E-2</v>
      </c>
    </row>
    <row r="116" spans="1:7" x14ac:dyDescent="0.3">
      <c r="A116" t="s">
        <v>290</v>
      </c>
      <c r="B116" t="s">
        <v>53</v>
      </c>
      <c r="C116" t="s">
        <v>55</v>
      </c>
      <c r="D116">
        <f>V26_LCC_quadrupoles!$M$5</f>
        <v>116.17614829743614</v>
      </c>
      <c r="E116">
        <f>V26_LCC_quadrupoles!$M$5</f>
        <v>116.17614829743614</v>
      </c>
      <c r="F116">
        <f>V26_LCC_quadrupoles!$M$5</f>
        <v>116.17614829743614</v>
      </c>
      <c r="G116">
        <f>V26_LCC_quadrupoles!$M$5</f>
        <v>116.17614829743614</v>
      </c>
    </row>
    <row r="117" spans="1:7" x14ac:dyDescent="0.3">
      <c r="A117" t="s">
        <v>288</v>
      </c>
      <c r="B117" t="s">
        <v>48</v>
      </c>
      <c r="C117" t="s">
        <v>49</v>
      </c>
      <c r="D117">
        <f>V26_LCC_quadrupoles!$M$4</f>
        <v>6220.0800000000008</v>
      </c>
      <c r="E117">
        <f>V26_LCC_quadrupoles!$M$4</f>
        <v>6220.0800000000008</v>
      </c>
      <c r="F117">
        <f>V26_LCC_quadrupoles!$M$4</f>
        <v>6220.0800000000008</v>
      </c>
      <c r="G117">
        <f>V26_LCC_quadrupoles!$M$4</f>
        <v>6220.0800000000008</v>
      </c>
    </row>
    <row r="118" spans="1:7" x14ac:dyDescent="0.3">
      <c r="A118" t="s">
        <v>289</v>
      </c>
      <c r="B118" t="s">
        <v>50</v>
      </c>
      <c r="C118" t="s">
        <v>51</v>
      </c>
      <c r="D118">
        <f>V26_LCC_quadrupoles!$M$3</f>
        <v>2716</v>
      </c>
      <c r="E118">
        <f>V26_LCC_quadrupoles!$M$3</f>
        <v>2716</v>
      </c>
      <c r="F118">
        <f>V26_LCC_quadrupoles!$M$3</f>
        <v>2716</v>
      </c>
      <c r="G118">
        <f>V26_LCC_quadrupoles!$M$3</f>
        <v>2716</v>
      </c>
    </row>
    <row r="119" spans="1:7" x14ac:dyDescent="0.3">
      <c r="A119" t="s">
        <v>287</v>
      </c>
      <c r="B119" t="s">
        <v>61</v>
      </c>
      <c r="C119" t="s">
        <v>59</v>
      </c>
      <c r="D119">
        <f>D116*D$35</f>
        <v>17670.999456440924</v>
      </c>
      <c r="E119">
        <f>E116*E$35</f>
        <v>31001.753432352492</v>
      </c>
      <c r="F119">
        <f>F116*F$35</f>
        <v>46502.630148528748</v>
      </c>
      <c r="G119">
        <f>G116*G$35</f>
        <v>70722.750017554121</v>
      </c>
    </row>
    <row r="120" spans="1:7" x14ac:dyDescent="0.3">
      <c r="A120" t="s">
        <v>298</v>
      </c>
      <c r="B120" t="s">
        <v>63</v>
      </c>
      <c r="C120" t="s">
        <v>62</v>
      </c>
      <c r="D120">
        <f>V26_LCC_quadrupoles!Q$13</f>
        <v>3.0011345668549776</v>
      </c>
      <c r="E120">
        <f>V26_LCC_quadrupoles!R$13</f>
        <v>5.265148362903469</v>
      </c>
      <c r="F120">
        <f>V26_LCC_quadrupoles!S$13</f>
        <v>7.8977225443552044</v>
      </c>
      <c r="G120">
        <f>V26_LCC_quadrupoles!T$13</f>
        <v>12.01111970287354</v>
      </c>
    </row>
    <row r="121" spans="1:7" x14ac:dyDescent="0.3">
      <c r="A121" t="s">
        <v>299</v>
      </c>
      <c r="B121" t="s">
        <v>162</v>
      </c>
      <c r="C121" t="s">
        <v>62</v>
      </c>
      <c r="D121">
        <f>V26_LCC_quadrupoles!Q$11</f>
        <v>1.5452323416735181</v>
      </c>
      <c r="E121">
        <f>V26_LCC_quadrupoles!R$11</f>
        <v>2.7109339327605579</v>
      </c>
      <c r="F121">
        <f>V26_LCC_quadrupoles!S$11</f>
        <v>4.0664008991408371</v>
      </c>
      <c r="G121">
        <f>V26_LCC_quadrupoles!T$11</f>
        <v>6.1843180341100226</v>
      </c>
    </row>
    <row r="122" spans="1:7" x14ac:dyDescent="0.3">
      <c r="A122" t="s">
        <v>285</v>
      </c>
      <c r="B122" t="s">
        <v>89</v>
      </c>
      <c r="C122" t="s">
        <v>62</v>
      </c>
      <c r="D122">
        <f>V26_LCC_quadrupoles!Q$12</f>
        <v>6.1452297686589841</v>
      </c>
      <c r="E122">
        <f>V26_LCC_quadrupoles!R$12</f>
        <v>10.781104857296461</v>
      </c>
      <c r="F122">
        <f>V26_LCC_quadrupoles!S$12</f>
        <v>16.171657285944693</v>
      </c>
      <c r="G122">
        <f>V26_LCC_quadrupoles!T$12</f>
        <v>24.594395455707552</v>
      </c>
    </row>
    <row r="123" spans="1:7" ht="18" thickBot="1" x14ac:dyDescent="0.4">
      <c r="B123" s="5" t="s">
        <v>54</v>
      </c>
    </row>
    <row r="124" spans="1:7" ht="15" thickTop="1" x14ac:dyDescent="0.3">
      <c r="A124" t="s">
        <v>291</v>
      </c>
      <c r="B124" t="s">
        <v>128</v>
      </c>
      <c r="C124" t="s">
        <v>59</v>
      </c>
      <c r="D124">
        <v>0.7</v>
      </c>
      <c r="E124">
        <v>0.7</v>
      </c>
      <c r="F124">
        <v>0.7</v>
      </c>
      <c r="G124">
        <v>0.7</v>
      </c>
    </row>
    <row r="125" spans="1:7" x14ac:dyDescent="0.3">
      <c r="A125" t="s">
        <v>292</v>
      </c>
      <c r="B125" t="s">
        <v>126</v>
      </c>
      <c r="C125" t="s">
        <v>127</v>
      </c>
      <c r="D125">
        <f>D124/(D100/2/1000)^2*2</f>
        <v>1325.4437869822482</v>
      </c>
      <c r="E125">
        <f t="shared" ref="E125:G125" si="46">E124/(E100/2/1000)^2*2</f>
        <v>1325.4437869822482</v>
      </c>
      <c r="F125">
        <f t="shared" si="46"/>
        <v>1325.4437869822482</v>
      </c>
      <c r="G125">
        <f t="shared" si="46"/>
        <v>1325.4437869822482</v>
      </c>
    </row>
    <row r="126" spans="1:7" x14ac:dyDescent="0.3">
      <c r="A126" t="s">
        <v>293</v>
      </c>
      <c r="B126" t="s">
        <v>166</v>
      </c>
      <c r="C126" t="s">
        <v>90</v>
      </c>
      <c r="D126">
        <f>D125/D$35</f>
        <v>8.7139923429876447</v>
      </c>
      <c r="E126">
        <f t="shared" ref="E126:G126" si="47">E125/E$35</f>
        <v>4.9669756355029575</v>
      </c>
      <c r="F126">
        <f t="shared" si="47"/>
        <v>3.3113170903353049</v>
      </c>
      <c r="G126">
        <f t="shared" si="47"/>
        <v>2.1773043881656799</v>
      </c>
    </row>
    <row r="127" spans="1:7" x14ac:dyDescent="0.3">
      <c r="A127" t="s">
        <v>294</v>
      </c>
      <c r="B127" t="s">
        <v>53</v>
      </c>
      <c r="C127" t="s">
        <v>56</v>
      </c>
      <c r="D127">
        <f>V26_LCC_sextupoles!$M$5</f>
        <v>1000.0957960253371</v>
      </c>
      <c r="E127">
        <f>V26_LCC_sextupoles!$M$5</f>
        <v>1000.0957960253371</v>
      </c>
      <c r="F127">
        <f>V26_LCC_sextupoles!$M$5</f>
        <v>1000.0957960253371</v>
      </c>
      <c r="G127">
        <f>V26_LCC_sextupoles!$M$5</f>
        <v>1000.0957960253371</v>
      </c>
    </row>
    <row r="128" spans="1:7" x14ac:dyDescent="0.3">
      <c r="A128" t="s">
        <v>295</v>
      </c>
      <c r="B128" t="s">
        <v>48</v>
      </c>
      <c r="C128" t="s">
        <v>49</v>
      </c>
      <c r="D128">
        <f>V26_LCC_sextupoles!$M$4</f>
        <v>770.56000000000006</v>
      </c>
      <c r="E128">
        <f>V26_LCC_sextupoles!$M$4</f>
        <v>770.56000000000006</v>
      </c>
      <c r="F128">
        <f>V26_LCC_sextupoles!$M$4</f>
        <v>770.56000000000006</v>
      </c>
      <c r="G128">
        <f>V26_LCC_sextupoles!$M$4</f>
        <v>770.56000000000006</v>
      </c>
    </row>
    <row r="129" spans="1:7" x14ac:dyDescent="0.3">
      <c r="A129" t="s">
        <v>296</v>
      </c>
      <c r="B129" t="s">
        <v>50</v>
      </c>
      <c r="C129" t="s">
        <v>51</v>
      </c>
      <c r="D129">
        <f>V26_LCC_sextupoles!$M$3</f>
        <v>1888</v>
      </c>
      <c r="E129">
        <f>V26_LCC_sextupoles!$M$3</f>
        <v>1888</v>
      </c>
      <c r="F129">
        <f>V26_LCC_sextupoles!$M$3</f>
        <v>1888</v>
      </c>
      <c r="G129">
        <f>V26_LCC_sextupoles!$M$3</f>
        <v>1888</v>
      </c>
    </row>
    <row r="130" spans="1:7" x14ac:dyDescent="0.3">
      <c r="A130" t="s">
        <v>297</v>
      </c>
      <c r="B130" t="s">
        <v>64</v>
      </c>
      <c r="C130" t="s">
        <v>62</v>
      </c>
      <c r="D130">
        <f>D127*D$35</f>
        <v>152119.79848657624</v>
      </c>
      <c r="E130">
        <f t="shared" ref="E130:G130" si="48">E127*E$35</f>
        <v>266876.83945013373</v>
      </c>
      <c r="F130">
        <f t="shared" si="48"/>
        <v>400315.25917520066</v>
      </c>
      <c r="G130">
        <f t="shared" si="48"/>
        <v>608812.78999561758</v>
      </c>
    </row>
    <row r="131" spans="1:7" x14ac:dyDescent="0.3">
      <c r="A131" t="s">
        <v>300</v>
      </c>
      <c r="B131" t="s">
        <v>65</v>
      </c>
      <c r="C131" t="s">
        <v>66</v>
      </c>
      <c r="D131">
        <f>V26_LCC_sextupoles!Q$13</f>
        <v>196.26787813523993</v>
      </c>
      <c r="E131">
        <f>V26_LCC_sextupoles!R$13</f>
        <v>344.32961076357884</v>
      </c>
      <c r="F131">
        <f>V26_LCC_sextupoles!S$13</f>
        <v>516.49441614536818</v>
      </c>
      <c r="G131">
        <f>V26_LCC_sextupoles!T$13</f>
        <v>785.50192455441402</v>
      </c>
    </row>
    <row r="132" spans="1:7" x14ac:dyDescent="0.3">
      <c r="A132" t="s">
        <v>301</v>
      </c>
      <c r="B132" t="s">
        <v>162</v>
      </c>
      <c r="C132" t="s">
        <v>127</v>
      </c>
      <c r="D132">
        <f>V26_LCC_sextupoles!Q$11</f>
        <v>7.2499061816410775</v>
      </c>
      <c r="E132">
        <f>V26_LCC_sextupoles!R$11</f>
        <v>12.719133652001888</v>
      </c>
      <c r="F132">
        <f>V26_LCC_sextupoles!S$11</f>
        <v>19.078700478002833</v>
      </c>
      <c r="G132">
        <f>V26_LCC_sextupoles!T$11</f>
        <v>29.015523643629308</v>
      </c>
    </row>
    <row r="133" spans="1:7" x14ac:dyDescent="0.3">
      <c r="A133" t="s">
        <v>292</v>
      </c>
      <c r="B133" t="s">
        <v>89</v>
      </c>
      <c r="C133" t="s">
        <v>127</v>
      </c>
      <c r="D133">
        <f>V26_LCC_sextupoles!Q$12</f>
        <v>443.8300825261868</v>
      </c>
      <c r="E133">
        <f>V26_LCC_sextupoles!R$12</f>
        <v>778.6492675898013</v>
      </c>
      <c r="F133">
        <f>V26_LCC_sextupoles!S$12</f>
        <v>1167.973901384702</v>
      </c>
      <c r="G133">
        <f>V26_LCC_sextupoles!T$12</f>
        <v>1776.2936416892342</v>
      </c>
    </row>
    <row r="134" spans="1:7" ht="20.399999999999999" thickBot="1" x14ac:dyDescent="0.45">
      <c r="B134" s="4" t="s">
        <v>84</v>
      </c>
    </row>
    <row r="135" spans="1:7" ht="15" thickTop="1" x14ac:dyDescent="0.3">
      <c r="A135" t="s">
        <v>302</v>
      </c>
      <c r="B135" t="s">
        <v>79</v>
      </c>
      <c r="D135" s="1">
        <v>1E-3</v>
      </c>
      <c r="E135" s="1">
        <v>1E-3</v>
      </c>
      <c r="F135" s="1">
        <v>1E-3</v>
      </c>
      <c r="G135" s="1">
        <v>1E-3</v>
      </c>
    </row>
    <row r="136" spans="1:7" x14ac:dyDescent="0.3">
      <c r="A136" t="s">
        <v>302</v>
      </c>
      <c r="B136" t="s">
        <v>325</v>
      </c>
      <c r="D136" s="1">
        <v>2.0000000000000001E-4</v>
      </c>
      <c r="E136" s="1">
        <v>2.0000000000000001E-4</v>
      </c>
      <c r="F136" s="1">
        <v>2.0000000000000001E-4</v>
      </c>
      <c r="G136" s="1">
        <v>2.0000000000000001E-4</v>
      </c>
    </row>
    <row r="137" spans="1:7" x14ac:dyDescent="0.3">
      <c r="A137" t="s">
        <v>302</v>
      </c>
      <c r="B137" t="s">
        <v>326</v>
      </c>
      <c r="D137" s="1">
        <v>2.0000000000000001E-4</v>
      </c>
      <c r="E137" s="1">
        <v>2.0000000000000001E-4</v>
      </c>
      <c r="F137" s="1">
        <v>2.0000000000000001E-4</v>
      </c>
      <c r="G137" s="1">
        <v>2.0000000000000001E-4</v>
      </c>
    </row>
    <row r="138" spans="1:7" x14ac:dyDescent="0.3">
      <c r="A138" t="s">
        <v>303</v>
      </c>
      <c r="B138" t="s">
        <v>80</v>
      </c>
      <c r="C138" t="s">
        <v>82</v>
      </c>
      <c r="D138">
        <v>300</v>
      </c>
      <c r="E138">
        <v>300</v>
      </c>
      <c r="F138">
        <v>300</v>
      </c>
      <c r="G138">
        <v>300</v>
      </c>
    </row>
    <row r="139" spans="1:7" x14ac:dyDescent="0.3">
      <c r="A139" t="s">
        <v>303</v>
      </c>
      <c r="B139" t="s">
        <v>327</v>
      </c>
      <c r="C139" t="s">
        <v>82</v>
      </c>
      <c r="D139">
        <v>300</v>
      </c>
      <c r="E139">
        <v>300</v>
      </c>
      <c r="F139">
        <v>300</v>
      </c>
      <c r="G139">
        <v>300</v>
      </c>
    </row>
    <row r="140" spans="1:7" x14ac:dyDescent="0.3">
      <c r="A140" t="s">
        <v>304</v>
      </c>
      <c r="B140" t="s">
        <v>83</v>
      </c>
      <c r="C140" t="s">
        <v>19</v>
      </c>
      <c r="D140">
        <v>200</v>
      </c>
      <c r="E140">
        <v>200</v>
      </c>
      <c r="F140">
        <v>200</v>
      </c>
      <c r="G140">
        <v>200</v>
      </c>
    </row>
    <row r="141" spans="1:7" x14ac:dyDescent="0.3">
      <c r="A141" t="s">
        <v>305</v>
      </c>
      <c r="B141" t="s">
        <v>87</v>
      </c>
      <c r="C141" t="s">
        <v>19</v>
      </c>
      <c r="D141">
        <v>50</v>
      </c>
      <c r="E141">
        <v>50</v>
      </c>
      <c r="F141">
        <v>50</v>
      </c>
      <c r="G141">
        <v>50</v>
      </c>
    </row>
    <row r="142" spans="1:7" x14ac:dyDescent="0.3">
      <c r="A142" t="s">
        <v>306</v>
      </c>
      <c r="B142" t="s">
        <v>86</v>
      </c>
      <c r="C142" t="s">
        <v>19</v>
      </c>
      <c r="D142">
        <v>100</v>
      </c>
      <c r="E142">
        <v>100</v>
      </c>
      <c r="F142">
        <v>100</v>
      </c>
      <c r="G142">
        <v>100</v>
      </c>
    </row>
    <row r="143" spans="1:7" x14ac:dyDescent="0.3">
      <c r="A143" t="s">
        <v>307</v>
      </c>
      <c r="B143" t="s">
        <v>85</v>
      </c>
      <c r="C143" t="s">
        <v>19</v>
      </c>
      <c r="D143">
        <v>50</v>
      </c>
      <c r="E143">
        <v>50</v>
      </c>
      <c r="F143">
        <v>50</v>
      </c>
      <c r="G143">
        <v>50</v>
      </c>
    </row>
    <row r="144" spans="1:7" x14ac:dyDescent="0.3">
      <c r="A144" t="s">
        <v>308</v>
      </c>
      <c r="B144" t="s">
        <v>81</v>
      </c>
      <c r="C144" t="s">
        <v>19</v>
      </c>
      <c r="D144">
        <v>50</v>
      </c>
      <c r="E144">
        <v>50</v>
      </c>
      <c r="F144">
        <v>50</v>
      </c>
      <c r="G144">
        <v>50</v>
      </c>
    </row>
  </sheetData>
  <conditionalFormatting sqref="D91:G91">
    <cfRule type="cellIs" dxfId="17" priority="12" operator="lessThan">
      <formula>$D$23</formula>
    </cfRule>
  </conditionalFormatting>
  <conditionalFormatting sqref="D91:G91">
    <cfRule type="cellIs" dxfId="16" priority="11" operator="greaterThan">
      <formula>$D$23</formula>
    </cfRule>
  </conditionalFormatting>
  <conditionalFormatting sqref="D133:G133">
    <cfRule type="cellIs" dxfId="15" priority="10" operator="greaterThan">
      <formula>$D$125</formula>
    </cfRule>
  </conditionalFormatting>
  <conditionalFormatting sqref="D122:G122">
    <cfRule type="cellIs" dxfId="14" priority="8" operator="greaterThan">
      <formula>$D$114</formula>
    </cfRule>
    <cfRule type="cellIs" dxfId="13" priority="9" operator="greaterThan">
      <formula>$D$125</formula>
    </cfRule>
  </conditionalFormatting>
  <conditionalFormatting sqref="D121:G121">
    <cfRule type="cellIs" dxfId="12" priority="6" operator="greaterThan">
      <formula>$D$114</formula>
    </cfRule>
    <cfRule type="cellIs" dxfId="11" priority="7" operator="greaterThan">
      <formula>$D$125</formula>
    </cfRule>
  </conditionalFormatting>
  <conditionalFormatting sqref="D132:G132">
    <cfRule type="cellIs" dxfId="10" priority="5" operator="greaterThan">
      <formula>$D$125</formula>
    </cfRule>
  </conditionalFormatting>
  <conditionalFormatting sqref="D110:G111">
    <cfRule type="cellIs" dxfId="7" priority="1" operator="greaterThan">
      <formula>$D$114</formula>
    </cfRule>
    <cfRule type="cellIs" dxfId="6" priority="2" operator="greaterThan">
      <formula>$D$125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814D-CF27-4CCB-A7C6-443E5DB8D22E}">
  <dimension ref="A1:T69"/>
  <sheetViews>
    <sheetView workbookViewId="0">
      <selection activeCell="M4" sqref="M4"/>
    </sheetView>
  </sheetViews>
  <sheetFormatPr baseColWidth="10" defaultRowHeight="14.4" x14ac:dyDescent="0.3"/>
  <cols>
    <col min="2" max="2" width="17.5546875" bestFit="1" customWidth="1"/>
    <col min="3" max="3" width="17.5546875" customWidth="1"/>
    <col min="5" max="5" width="20.6640625" bestFit="1" customWidth="1"/>
    <col min="6" max="6" width="13.109375" customWidth="1"/>
    <col min="12" max="12" width="25.33203125" bestFit="1" customWidth="1"/>
  </cols>
  <sheetData>
    <row r="1" spans="1:20" x14ac:dyDescent="0.3">
      <c r="A1" t="s">
        <v>152</v>
      </c>
      <c r="B1" t="s">
        <v>315</v>
      </c>
      <c r="C1" t="s">
        <v>316</v>
      </c>
      <c r="D1" t="s">
        <v>150</v>
      </c>
      <c r="E1" t="s">
        <v>317</v>
      </c>
      <c r="F1" t="s">
        <v>318</v>
      </c>
      <c r="J1" t="s">
        <v>164</v>
      </c>
    </row>
    <row r="2" spans="1:20" x14ac:dyDescent="0.3">
      <c r="A2">
        <v>9.4</v>
      </c>
      <c r="B2" s="1">
        <v>8.7130732291666702E-4</v>
      </c>
      <c r="C2" s="1">
        <v>9.26922683953901E-5</v>
      </c>
      <c r="D2">
        <v>7104</v>
      </c>
      <c r="E2">
        <f>ABS($B2/$A2*V26_LCC!D$26)</f>
        <v>6.183762527834512E-3</v>
      </c>
      <c r="F2">
        <f>ABS($B2/$A2*V26_LCC!D$35)</f>
        <v>1.409897856346269E-2</v>
      </c>
      <c r="G2">
        <f>ABS($B2/$A2*V26_LCC!E$35)</f>
        <v>2.4735050111338048E-2</v>
      </c>
      <c r="H2">
        <f>ABS($B2/$A2*V26_LCC!F$35)</f>
        <v>3.7102575167007081E-2</v>
      </c>
      <c r="I2">
        <f>ABS($B2/$A2*V26_LCC!G$35)</f>
        <v>5.6426833066489927E-2</v>
      </c>
      <c r="J2">
        <f>I2/V26_LCC!$D$114*A2</f>
        <v>1.7238397501812677E-2</v>
      </c>
    </row>
    <row r="3" spans="1:20" x14ac:dyDescent="0.3">
      <c r="A3">
        <v>9.4000146092726631</v>
      </c>
      <c r="B3" s="1">
        <v>8.7130867708328972E-4</v>
      </c>
      <c r="C3" s="1">
        <v>9.26922683953901E-5</v>
      </c>
      <c r="D3">
        <v>48</v>
      </c>
      <c r="E3">
        <f>ABS($B3/$A3*V26_LCC!D$26)</f>
        <v>6.183762527834512E-3</v>
      </c>
      <c r="F3">
        <f>ABS($B3/$A3*V26_LCC!D$35)</f>
        <v>1.409897856346269E-2</v>
      </c>
      <c r="G3">
        <f>ABS($B3/$A3*V26_LCC!E$35)</f>
        <v>2.4735050111338048E-2</v>
      </c>
      <c r="H3">
        <f>ABS($B3/$A3*V26_LCC!F$35)</f>
        <v>3.7102575167007081E-2</v>
      </c>
      <c r="I3">
        <f>ABS($B3/$A3*V26_LCC!G$35)</f>
        <v>5.6426833066489927E-2</v>
      </c>
      <c r="J3">
        <f>I3/V26_LCC!$D$114*A3</f>
        <v>1.7238424293349843E-2</v>
      </c>
      <c r="L3" t="s">
        <v>155</v>
      </c>
      <c r="M3">
        <f>SUM(D2:D33)</f>
        <v>7200</v>
      </c>
    </row>
    <row r="4" spans="1:20" x14ac:dyDescent="0.3">
      <c r="A4">
        <v>11.596451887869989</v>
      </c>
      <c r="B4" s="1">
        <v>1.074901430824674E-3</v>
      </c>
      <c r="C4" s="1">
        <v>9.26922683953901E-5</v>
      </c>
      <c r="D4">
        <v>48</v>
      </c>
      <c r="E4">
        <f>ABS($B4/$A4*V26_LCC!D$26)</f>
        <v>6.1837625278345154E-3</v>
      </c>
      <c r="F4">
        <f>ABS($B4/$A4*V26_LCC!D$35)</f>
        <v>1.4098978563462698E-2</v>
      </c>
      <c r="G4">
        <f>ABS($B4/$A4*V26_LCC!E$35)</f>
        <v>2.4735050111338062E-2</v>
      </c>
      <c r="H4">
        <f>ABS($B4/$A4*V26_LCC!F$35)</f>
        <v>3.7102575167007101E-2</v>
      </c>
      <c r="I4">
        <f>ABS($B4/$A4*V26_LCC!G$35)</f>
        <v>5.6426833066489962E-2</v>
      </c>
      <c r="J4">
        <f>I4/V26_LCC!$D$114*A4</f>
        <v>2.1266409282313724E-2</v>
      </c>
      <c r="L4" t="s">
        <v>48</v>
      </c>
      <c r="M4">
        <f>SUMPRODUCT(A2:A33,D2:D33)</f>
        <v>67785.430391862858</v>
      </c>
    </row>
    <row r="5" spans="1:20" x14ac:dyDescent="0.3">
      <c r="B5" s="1"/>
      <c r="C5" s="1"/>
      <c r="L5" t="s">
        <v>161</v>
      </c>
      <c r="M5" cm="1">
        <f t="array" ref="M5">SUMPRODUCT((B2:B33)*(D2:D33)*SIGN(B2:B33))</f>
        <v>6.2831853071795845</v>
      </c>
    </row>
    <row r="6" spans="1:20" x14ac:dyDescent="0.3">
      <c r="B6" s="1"/>
      <c r="C6" s="1"/>
    </row>
    <row r="7" spans="1:20" x14ac:dyDescent="0.3">
      <c r="B7" s="1"/>
      <c r="C7" s="1"/>
    </row>
    <row r="8" spans="1:20" x14ac:dyDescent="0.3">
      <c r="B8" s="1"/>
      <c r="C8" s="1"/>
    </row>
    <row r="9" spans="1:20" x14ac:dyDescent="0.3">
      <c r="B9" s="1"/>
      <c r="C9" s="1"/>
    </row>
    <row r="10" spans="1:20" x14ac:dyDescent="0.3">
      <c r="B10" s="1"/>
      <c r="C10" s="1"/>
    </row>
    <row r="11" spans="1:20" x14ac:dyDescent="0.3">
      <c r="B11" s="1"/>
      <c r="C11" s="1"/>
      <c r="L11" t="s">
        <v>159</v>
      </c>
      <c r="M11" t="s">
        <v>319</v>
      </c>
      <c r="P11">
        <f>MIN(E1:E69)</f>
        <v>6.183762527834512E-3</v>
      </c>
      <c r="Q11">
        <f t="shared" ref="Q11:T11" si="0">MIN(F1:F69)</f>
        <v>1.409897856346269E-2</v>
      </c>
      <c r="R11">
        <f t="shared" si="0"/>
        <v>2.4735050111338048E-2</v>
      </c>
      <c r="S11">
        <f t="shared" si="0"/>
        <v>3.7102575167007081E-2</v>
      </c>
      <c r="T11">
        <f t="shared" si="0"/>
        <v>5.6426833066489927E-2</v>
      </c>
    </row>
    <row r="12" spans="1:20" x14ac:dyDescent="0.3">
      <c r="B12" s="1"/>
      <c r="C12" s="1"/>
      <c r="L12" t="s">
        <v>157</v>
      </c>
      <c r="M12" t="s">
        <v>320</v>
      </c>
      <c r="P12">
        <f>MAX(E2:E69)</f>
        <v>6.1837625278345154E-3</v>
      </c>
      <c r="Q12">
        <f t="shared" ref="Q12:T12" si="1">MAX(F2:F69)</f>
        <v>1.4098978563462698E-2</v>
      </c>
      <c r="R12">
        <f t="shared" si="1"/>
        <v>2.4735050111338062E-2</v>
      </c>
      <c r="S12">
        <f t="shared" si="1"/>
        <v>3.7102575167007101E-2</v>
      </c>
      <c r="T12">
        <f t="shared" si="1"/>
        <v>5.6426833066489962E-2</v>
      </c>
    </row>
    <row r="13" spans="1:20" x14ac:dyDescent="0.3">
      <c r="B13" s="1"/>
      <c r="C13" s="1"/>
      <c r="L13" t="s">
        <v>154</v>
      </c>
      <c r="M13" t="s">
        <v>321</v>
      </c>
      <c r="P13">
        <f>SUMPRODUCT($D$2:$D$69,E2:E69)/$M$3</f>
        <v>6.1837625278345128E-3</v>
      </c>
      <c r="Q13">
        <f t="shared" ref="Q13:T13" si="2">SUMPRODUCT($D$2:$D$69,F2:F69)/$M$3</f>
        <v>1.4098978563462688E-2</v>
      </c>
      <c r="R13">
        <f t="shared" si="2"/>
        <v>2.4735050111338051E-2</v>
      </c>
      <c r="S13">
        <f t="shared" si="2"/>
        <v>3.7102575167007081E-2</v>
      </c>
      <c r="T13">
        <f t="shared" si="2"/>
        <v>5.6426833066489927E-2</v>
      </c>
    </row>
    <row r="14" spans="1:20" x14ac:dyDescent="0.3">
      <c r="B14" s="1"/>
      <c r="C14" s="1"/>
    </row>
    <row r="15" spans="1:20" x14ac:dyDescent="0.3">
      <c r="B15" s="1"/>
      <c r="C15" s="1"/>
    </row>
    <row r="16" spans="1:20" x14ac:dyDescent="0.3">
      <c r="B16" s="1"/>
      <c r="C16" s="1"/>
    </row>
    <row r="17" spans="2:12" x14ac:dyDescent="0.3">
      <c r="B17" s="1"/>
      <c r="C17" s="1"/>
    </row>
    <row r="18" spans="2:12" x14ac:dyDescent="0.3">
      <c r="B18" s="1"/>
      <c r="C18" s="1"/>
    </row>
    <row r="19" spans="2:12" x14ac:dyDescent="0.3">
      <c r="B19" s="1"/>
      <c r="C19" s="1"/>
    </row>
    <row r="20" spans="2:12" x14ac:dyDescent="0.3">
      <c r="B20" s="1"/>
      <c r="C20" s="1"/>
    </row>
    <row r="21" spans="2:12" x14ac:dyDescent="0.3">
      <c r="B21" s="1"/>
      <c r="C21" s="1"/>
    </row>
    <row r="22" spans="2:12" x14ac:dyDescent="0.3">
      <c r="B22" s="1"/>
      <c r="C22" s="1"/>
      <c r="L22" s="1"/>
    </row>
    <row r="23" spans="2:12" x14ac:dyDescent="0.3">
      <c r="B23" s="1"/>
      <c r="C23" s="1"/>
    </row>
    <row r="24" spans="2:12" x14ac:dyDescent="0.3">
      <c r="B24" s="1"/>
      <c r="C24" s="1"/>
    </row>
    <row r="25" spans="2:12" x14ac:dyDescent="0.3">
      <c r="B25" s="1"/>
      <c r="C25" s="1"/>
    </row>
    <row r="26" spans="2:12" x14ac:dyDescent="0.3">
      <c r="B26" s="1"/>
      <c r="C26" s="1"/>
    </row>
    <row r="27" spans="2:12" x14ac:dyDescent="0.3">
      <c r="B27" s="1"/>
      <c r="C27" s="1"/>
    </row>
    <row r="28" spans="2:12" x14ac:dyDescent="0.3">
      <c r="B28" s="1"/>
      <c r="C28" s="1"/>
    </row>
    <row r="29" spans="2:12" x14ac:dyDescent="0.3">
      <c r="B29" s="1"/>
      <c r="C29" s="1"/>
    </row>
    <row r="30" spans="2:12" x14ac:dyDescent="0.3">
      <c r="B30" s="1"/>
      <c r="C30" s="1"/>
    </row>
    <row r="31" spans="2:12" x14ac:dyDescent="0.3">
      <c r="B31" s="1"/>
      <c r="C31" s="1"/>
    </row>
    <row r="32" spans="2:12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  <row r="38" spans="2:3" x14ac:dyDescent="0.3">
      <c r="B38" s="1"/>
      <c r="C38" s="1"/>
    </row>
    <row r="39" spans="2:3" x14ac:dyDescent="0.3">
      <c r="B39" s="1"/>
      <c r="C39" s="1"/>
    </row>
    <row r="40" spans="2:3" x14ac:dyDescent="0.3">
      <c r="B40" s="1"/>
      <c r="C40" s="1"/>
    </row>
    <row r="41" spans="2:3" x14ac:dyDescent="0.3">
      <c r="B41" s="1"/>
      <c r="C41" s="1"/>
    </row>
    <row r="42" spans="2:3" x14ac:dyDescent="0.3">
      <c r="B42" s="1"/>
      <c r="C42" s="1"/>
    </row>
    <row r="43" spans="2:3" x14ac:dyDescent="0.3">
      <c r="B43" s="1"/>
      <c r="C43" s="1"/>
    </row>
    <row r="44" spans="2:3" x14ac:dyDescent="0.3">
      <c r="B44" s="1"/>
      <c r="C44" s="1"/>
    </row>
    <row r="45" spans="2:3" x14ac:dyDescent="0.3">
      <c r="B45" s="1"/>
      <c r="C45" s="1"/>
    </row>
    <row r="46" spans="2:3" x14ac:dyDescent="0.3">
      <c r="B46" s="1"/>
      <c r="C46" s="1"/>
    </row>
    <row r="47" spans="2:3" x14ac:dyDescent="0.3">
      <c r="B47" s="1"/>
      <c r="C47" s="1"/>
    </row>
    <row r="48" spans="2:3" x14ac:dyDescent="0.3">
      <c r="B48" s="1"/>
      <c r="C48" s="1"/>
    </row>
    <row r="49" spans="2:3" x14ac:dyDescent="0.3">
      <c r="B49" s="1"/>
      <c r="C49" s="1"/>
    </row>
    <row r="50" spans="2:3" x14ac:dyDescent="0.3">
      <c r="B50" s="1"/>
      <c r="C50" s="1"/>
    </row>
    <row r="51" spans="2:3" x14ac:dyDescent="0.3">
      <c r="B51" s="1"/>
      <c r="C51" s="1"/>
    </row>
    <row r="52" spans="2:3" x14ac:dyDescent="0.3">
      <c r="B52" s="1"/>
      <c r="C52" s="1"/>
    </row>
    <row r="53" spans="2:3" x14ac:dyDescent="0.3">
      <c r="B53" s="1"/>
      <c r="C53" s="1"/>
    </row>
    <row r="54" spans="2:3" x14ac:dyDescent="0.3">
      <c r="B54" s="1"/>
      <c r="C54" s="1"/>
    </row>
    <row r="55" spans="2:3" x14ac:dyDescent="0.3">
      <c r="B55" s="1"/>
      <c r="C55" s="1"/>
    </row>
    <row r="56" spans="2:3" x14ac:dyDescent="0.3">
      <c r="B56" s="1"/>
      <c r="C56" s="1"/>
    </row>
    <row r="57" spans="2:3" x14ac:dyDescent="0.3">
      <c r="B57" s="1"/>
      <c r="C57" s="1"/>
    </row>
    <row r="58" spans="2:3" x14ac:dyDescent="0.3">
      <c r="B58" s="1"/>
      <c r="C58" s="1"/>
    </row>
    <row r="59" spans="2:3" x14ac:dyDescent="0.3">
      <c r="B59" s="1"/>
      <c r="C59" s="1"/>
    </row>
    <row r="60" spans="2:3" x14ac:dyDescent="0.3">
      <c r="B60" s="1"/>
      <c r="C60" s="1"/>
    </row>
    <row r="61" spans="2:3" x14ac:dyDescent="0.3">
      <c r="B61" s="1"/>
      <c r="C61" s="1"/>
    </row>
    <row r="62" spans="2:3" x14ac:dyDescent="0.3">
      <c r="B62" s="1"/>
      <c r="C62" s="1"/>
    </row>
    <row r="63" spans="2:3" x14ac:dyDescent="0.3">
      <c r="B63" s="1"/>
      <c r="C63" s="1"/>
    </row>
    <row r="64" spans="2:3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645745D2-3101-4C75-80C3-E7FF54FB2F79}">
            <xm:f>V26_LCC!$D$114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P12:T13</xm:sqref>
        </x14:conditionalFormatting>
        <x14:conditionalFormatting xmlns:xm="http://schemas.microsoft.com/office/excel/2006/main">
          <x14:cfRule type="cellIs" priority="1" operator="greaterThan" id="{17C689DD-E956-4A84-A4AF-12D575B856F4}">
            <xm:f>V26_LCC!$D$114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P11:T11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9"/>
  <sheetViews>
    <sheetView workbookViewId="0">
      <selection activeCell="E2" sqref="E2"/>
    </sheetView>
  </sheetViews>
  <sheetFormatPr baseColWidth="10" defaultRowHeight="14.4" x14ac:dyDescent="0.3"/>
  <cols>
    <col min="2" max="2" width="17.5546875" bestFit="1" customWidth="1"/>
    <col min="3" max="3" width="17.5546875" customWidth="1"/>
    <col min="5" max="5" width="20.6640625" bestFit="1" customWidth="1"/>
    <col min="6" max="6" width="13.109375" customWidth="1"/>
    <col min="12" max="12" width="25.33203125" bestFit="1" customWidth="1"/>
  </cols>
  <sheetData>
    <row r="1" spans="1:20" x14ac:dyDescent="0.3">
      <c r="A1" t="s">
        <v>152</v>
      </c>
      <c r="B1" t="s">
        <v>312</v>
      </c>
      <c r="C1" t="s">
        <v>313</v>
      </c>
      <c r="D1" t="s">
        <v>150</v>
      </c>
      <c r="E1" t="s">
        <v>151</v>
      </c>
      <c r="F1" t="s">
        <v>153</v>
      </c>
      <c r="J1" t="s">
        <v>164</v>
      </c>
    </row>
    <row r="2" spans="1:20" x14ac:dyDescent="0.3">
      <c r="A2">
        <v>1.6</v>
      </c>
      <c r="B2" s="1">
        <v>-4.2776431145155641E-2</v>
      </c>
      <c r="C2" s="1">
        <v>-2.6735269465722279E-2</v>
      </c>
      <c r="D2">
        <v>8</v>
      </c>
      <c r="E2">
        <f>ABS($B2/$A2*V26_LCC!D$26)</f>
        <v>1.7835851938424865</v>
      </c>
      <c r="F2">
        <f>ABS($B2/$A2*V26_LCC!D$35)</f>
        <v>4.0665742419608693</v>
      </c>
      <c r="G2">
        <f>ABS($B2/$A2*V26_LCC!E$35)</f>
        <v>7.1343407753699459</v>
      </c>
      <c r="H2">
        <f>ABS($B2/$A2*V26_LCC!F$35)</f>
        <v>10.701511163054921</v>
      </c>
      <c r="I2">
        <f>ABS($B2/$A2*V26_LCC!G$35)</f>
        <v>16.275214893812688</v>
      </c>
      <c r="J2">
        <f>I2/V26_LCC!$D$114*A2</f>
        <v>0.84631117447825988</v>
      </c>
    </row>
    <row r="3" spans="1:20" x14ac:dyDescent="0.3">
      <c r="A3">
        <v>1.6</v>
      </c>
      <c r="B3" s="1">
        <v>-3.8063407707744842E-2</v>
      </c>
      <c r="C3" s="1">
        <v>-2.3789629817340521E-2</v>
      </c>
      <c r="D3">
        <v>8</v>
      </c>
      <c r="E3">
        <f>ABS($B3/$A3*V26_LCC!D$26)</f>
        <v>1.5870732690240341</v>
      </c>
      <c r="F3">
        <f>ABS($B3/$A3*V26_LCC!D$35)</f>
        <v>3.6185270533747982</v>
      </c>
      <c r="G3">
        <f>ABS($B3/$A3*V26_LCC!E$35)</f>
        <v>6.3482930760961365</v>
      </c>
      <c r="H3">
        <f>ABS($B3/$A3*V26_LCC!F$35)</f>
        <v>9.522439614144206</v>
      </c>
      <c r="I3">
        <f>ABS($B3/$A3*V26_LCC!G$35)</f>
        <v>14.482043579844312</v>
      </c>
      <c r="J3">
        <f>I3/V26_LCC!$D$114*A3</f>
        <v>0.75306626615190431</v>
      </c>
      <c r="L3" t="s">
        <v>155</v>
      </c>
      <c r="M3">
        <f>SUM(D2:D33)</f>
        <v>2716</v>
      </c>
    </row>
    <row r="4" spans="1:20" x14ac:dyDescent="0.3">
      <c r="A4">
        <v>1.6</v>
      </c>
      <c r="B4" s="1">
        <v>-3.4596055800951167E-2</v>
      </c>
      <c r="C4" s="1">
        <v>-2.1622534875594481E-2</v>
      </c>
      <c r="D4">
        <v>8</v>
      </c>
      <c r="E4">
        <f>ABS($B4/$A4*V26_LCC!D$26)</f>
        <v>1.4425002563336318</v>
      </c>
      <c r="F4">
        <f>ABS($B4/$A4*V26_LCC!D$35)</f>
        <v>3.2889005844406807</v>
      </c>
      <c r="G4">
        <f>ABS($B4/$A4*V26_LCC!E$35)</f>
        <v>5.7700010253345271</v>
      </c>
      <c r="H4">
        <f>ABS($B4/$A4*V26_LCC!F$35)</f>
        <v>8.6550015380017911</v>
      </c>
      <c r="I4">
        <f>ABS($B4/$A4*V26_LCC!G$35)</f>
        <v>13.16281483904439</v>
      </c>
      <c r="J4">
        <f>I4/V26_LCC!$D$114*A4</f>
        <v>0.68446637163030832</v>
      </c>
      <c r="L4" t="s">
        <v>48</v>
      </c>
      <c r="M4">
        <f>SUMPRODUCT(A2:A33,D2:D33)</f>
        <v>6220.0800000000008</v>
      </c>
    </row>
    <row r="5" spans="1:20" x14ac:dyDescent="0.3">
      <c r="A5">
        <v>1.6</v>
      </c>
      <c r="B5" s="1">
        <v>-2.7517864071769881E-2</v>
      </c>
      <c r="C5" s="1">
        <v>-1.719866504485618E-2</v>
      </c>
      <c r="D5">
        <v>64</v>
      </c>
      <c r="E5">
        <f>ABS($B5/$A5*V26_LCC!D$26)</f>
        <v>1.1473714288607071</v>
      </c>
      <c r="F5">
        <f>ABS($B5/$A5*V26_LCC!D$35)</f>
        <v>2.6160068578024123</v>
      </c>
      <c r="G5">
        <f>ABS($B5/$A5*V26_LCC!E$35)</f>
        <v>4.5894857154428284</v>
      </c>
      <c r="H5">
        <f>ABS($B5/$A5*V26_LCC!F$35)</f>
        <v>6.8842285731642434</v>
      </c>
      <c r="I5">
        <f>ABS($B5/$A5*V26_LCC!G$35)</f>
        <v>10.469764288353952</v>
      </c>
      <c r="J5">
        <f>I5/V26_LCC!$D$114*A5</f>
        <v>0.54442774299440555</v>
      </c>
      <c r="L5" t="s">
        <v>161</v>
      </c>
      <c r="M5" cm="1">
        <f t="array" ref="M5">SUMPRODUCT((B2:B33)*(D2:D33)*SIGN(B2:B33))</f>
        <v>116.17614829743614</v>
      </c>
    </row>
    <row r="6" spans="1:20" x14ac:dyDescent="0.3">
      <c r="A6">
        <v>1.6</v>
      </c>
      <c r="B6" s="1">
        <v>-2.394166510284482E-2</v>
      </c>
      <c r="C6" s="1">
        <v>-1.4963540689278011E-2</v>
      </c>
      <c r="D6">
        <v>8</v>
      </c>
      <c r="E6">
        <f>ABS($B6/$A6*V26_LCC!D$26)</f>
        <v>0.99825998219595047</v>
      </c>
      <c r="F6">
        <f>ABS($B6/$A6*V26_LCC!D$35)</f>
        <v>2.2760327594067675</v>
      </c>
      <c r="G6">
        <f>ABS($B6/$A6*V26_LCC!E$35)</f>
        <v>3.9930399287838019</v>
      </c>
      <c r="H6">
        <f>ABS($B6/$A6*V26_LCC!F$35)</f>
        <v>5.989559893175703</v>
      </c>
      <c r="I6">
        <f>ABS($B6/$A6*V26_LCC!G$35)</f>
        <v>9.1091223375380483</v>
      </c>
      <c r="J6">
        <f>I6/V26_LCC!$D$114*A6</f>
        <v>0.47367436155197862</v>
      </c>
    </row>
    <row r="7" spans="1:20" x14ac:dyDescent="0.3">
      <c r="A7">
        <v>1.6</v>
      </c>
      <c r="B7" s="1">
        <v>-2.2641336297663121E-2</v>
      </c>
      <c r="C7" s="1">
        <v>-1.415083518603945E-2</v>
      </c>
      <c r="D7">
        <v>32</v>
      </c>
      <c r="E7">
        <f>ABS($B7/$A7*V26_LCC!D$26)</f>
        <v>0.94404210702588442</v>
      </c>
      <c r="F7">
        <f>ABS($B7/$A7*V26_LCC!D$35)</f>
        <v>2.1524160040190168</v>
      </c>
      <c r="G7">
        <f>ABS($B7/$A7*V26_LCC!E$35)</f>
        <v>3.7761684281035377</v>
      </c>
      <c r="H7">
        <f>ABS($B7/$A7*V26_LCC!F$35)</f>
        <v>5.6642526421553079</v>
      </c>
      <c r="I7">
        <f>ABS($B7/$A7*V26_LCC!G$35)</f>
        <v>8.6143842266111967</v>
      </c>
      <c r="J7">
        <f>I7/V26_LCC!$D$114*A7</f>
        <v>0.44794797978378231</v>
      </c>
    </row>
    <row r="8" spans="1:20" x14ac:dyDescent="0.3">
      <c r="A8">
        <v>1.6</v>
      </c>
      <c r="B8" s="1">
        <v>-2.180882529830698E-2</v>
      </c>
      <c r="C8" s="1">
        <v>-1.3630515811441859E-2</v>
      </c>
      <c r="D8">
        <v>8</v>
      </c>
      <c r="E8">
        <f>ABS($B8/$A8*V26_LCC!D$26)</f>
        <v>0.90933013474554192</v>
      </c>
      <c r="F8">
        <f>ABS($B8/$A8*V26_LCC!D$35)</f>
        <v>2.0732727072198358</v>
      </c>
      <c r="G8">
        <f>ABS($B8/$A8*V26_LCC!E$35)</f>
        <v>3.6373205389821677</v>
      </c>
      <c r="H8">
        <f>ABS($B8/$A8*V26_LCC!F$35)</f>
        <v>5.4559808084732522</v>
      </c>
      <c r="I8">
        <f>ABS($B8/$A8*V26_LCC!G$35)</f>
        <v>8.297637479553071</v>
      </c>
      <c r="J8">
        <f>I8/V26_LCC!$D$114*A8</f>
        <v>0.43147714893675976</v>
      </c>
    </row>
    <row r="9" spans="1:20" x14ac:dyDescent="0.3">
      <c r="A9">
        <v>1.6</v>
      </c>
      <c r="B9" s="1">
        <v>-2.1625610390480492E-2</v>
      </c>
      <c r="C9" s="1">
        <v>-1.3516006494050299E-2</v>
      </c>
      <c r="D9">
        <v>8</v>
      </c>
      <c r="E9">
        <f>ABS($B9/$A9*V26_LCC!D$26)</f>
        <v>0.90169089537604741</v>
      </c>
      <c r="F9">
        <f>ABS($B9/$A9*V26_LCC!D$35)</f>
        <v>2.0558552414573885</v>
      </c>
      <c r="G9">
        <f>ABS($B9/$A9*V26_LCC!E$35)</f>
        <v>3.6067635815041896</v>
      </c>
      <c r="H9">
        <f>ABS($B9/$A9*V26_LCC!F$35)</f>
        <v>5.4101453722562853</v>
      </c>
      <c r="I9">
        <f>ABS($B9/$A9*V26_LCC!G$35)</f>
        <v>8.2279294203064328</v>
      </c>
      <c r="J9">
        <f>I9/V26_LCC!$D$114*A9</f>
        <v>0.42785232985593452</v>
      </c>
    </row>
    <row r="10" spans="1:20" x14ac:dyDescent="0.3">
      <c r="A10">
        <v>1.6</v>
      </c>
      <c r="B10" s="1">
        <v>-1.6254350943557889E-2</v>
      </c>
      <c r="C10" s="1">
        <v>-1.015896933972368E-2</v>
      </c>
      <c r="D10">
        <v>8</v>
      </c>
      <c r="E10">
        <f>ABS($B10/$A10*V26_LCC!D$26)</f>
        <v>0.67773348319013949</v>
      </c>
      <c r="F10">
        <f>ABS($B10/$A10*V26_LCC!D$35)</f>
        <v>1.5452323416735181</v>
      </c>
      <c r="G10">
        <f>ABS($B10/$A10*V26_LCC!E$35)</f>
        <v>2.7109339327605579</v>
      </c>
      <c r="H10">
        <f>ABS($B10/$A10*V26_LCC!F$35)</f>
        <v>4.0664008991408371</v>
      </c>
      <c r="I10">
        <f>ABS($B10/$A10*V26_LCC!G$35)</f>
        <v>6.1843180341100226</v>
      </c>
      <c r="J10">
        <f>I10/V26_LCC!$D$114*A10</f>
        <v>0.3215845377737212</v>
      </c>
    </row>
    <row r="11" spans="1:20" x14ac:dyDescent="0.3">
      <c r="A11">
        <v>1.6</v>
      </c>
      <c r="B11" s="1">
        <v>1.9507439463301569E-2</v>
      </c>
      <c r="C11" s="1">
        <v>1.219214966456348E-2</v>
      </c>
      <c r="D11">
        <v>8</v>
      </c>
      <c r="E11">
        <f>ABS($B11/$A11*V26_LCC!D$26)</f>
        <v>0.81337267427611393</v>
      </c>
      <c r="F11">
        <f>ABS($B11/$A11*V26_LCC!D$35)</f>
        <v>1.8544896973495402</v>
      </c>
      <c r="G11">
        <f>ABS($B11/$A11*V26_LCC!E$35)</f>
        <v>3.2534906971044557</v>
      </c>
      <c r="H11">
        <f>ABS($B11/$A11*V26_LCC!F$35)</f>
        <v>4.8802360456566847</v>
      </c>
      <c r="I11">
        <f>ABS($B11/$A11*V26_LCC!G$35)</f>
        <v>7.4220256527695403</v>
      </c>
      <c r="J11">
        <f>I11/V26_LCC!$D$114*A11</f>
        <v>0.38594533394401614</v>
      </c>
      <c r="L11" t="s">
        <v>159</v>
      </c>
      <c r="M11" t="s">
        <v>160</v>
      </c>
      <c r="P11">
        <f>MIN(E1:E69)</f>
        <v>0.67773348319013949</v>
      </c>
      <c r="Q11">
        <f t="shared" ref="Q11:T11" si="0">MIN(F1:F69)</f>
        <v>1.5452323416735181</v>
      </c>
      <c r="R11">
        <f t="shared" si="0"/>
        <v>2.7109339327605579</v>
      </c>
      <c r="S11">
        <f t="shared" si="0"/>
        <v>4.0664008991408371</v>
      </c>
      <c r="T11">
        <f t="shared" si="0"/>
        <v>6.1843180341100226</v>
      </c>
    </row>
    <row r="12" spans="1:20" x14ac:dyDescent="0.3">
      <c r="A12">
        <v>1.6</v>
      </c>
      <c r="B12" s="1">
        <v>2.429369409340211E-2</v>
      </c>
      <c r="C12" s="1">
        <v>1.5183558808376321E-2</v>
      </c>
      <c r="D12">
        <v>32</v>
      </c>
      <c r="E12">
        <f>ABS($B12/$A12*V26_LCC!D$26)</f>
        <v>1.0129380111607955</v>
      </c>
      <c r="F12">
        <f>ABS($B12/$A12*V26_LCC!D$35)</f>
        <v>2.3094986654466143</v>
      </c>
      <c r="G12">
        <f>ABS($B12/$A12*V26_LCC!E$35)</f>
        <v>4.0517520446431821</v>
      </c>
      <c r="H12">
        <f>ABS($B12/$A12*V26_LCC!F$35)</f>
        <v>6.0776280669647749</v>
      </c>
      <c r="I12">
        <f>ABS($B12/$A12*V26_LCC!G$35)</f>
        <v>9.2430593518422608</v>
      </c>
      <c r="J12">
        <f>I12/V26_LCC!$D$114*A12</f>
        <v>0.4806390862957976</v>
      </c>
      <c r="L12" t="s">
        <v>157</v>
      </c>
      <c r="M12" t="s">
        <v>158</v>
      </c>
      <c r="P12">
        <f>MAX(E2:E69)</f>
        <v>2.6952762143241151</v>
      </c>
      <c r="Q12">
        <f t="shared" ref="Q12:T12" si="1">MAX(F2:F69)</f>
        <v>6.1452297686589841</v>
      </c>
      <c r="R12">
        <f t="shared" si="1"/>
        <v>10.781104857296461</v>
      </c>
      <c r="S12">
        <f t="shared" si="1"/>
        <v>16.171657285944693</v>
      </c>
      <c r="T12">
        <f t="shared" si="1"/>
        <v>24.594395455707552</v>
      </c>
    </row>
    <row r="13" spans="1:20" x14ac:dyDescent="0.3">
      <c r="A13">
        <v>1.6</v>
      </c>
      <c r="B13" s="1">
        <v>2.6461835809485541E-2</v>
      </c>
      <c r="C13" s="1">
        <v>1.6538647380928459E-2</v>
      </c>
      <c r="D13">
        <v>8</v>
      </c>
      <c r="E13">
        <f>ABS($B13/$A13*V26_LCC!D$26)</f>
        <v>1.1033397898841379</v>
      </c>
      <c r="F13">
        <f>ABS($B13/$A13*V26_LCC!D$35)</f>
        <v>2.5156147209358348</v>
      </c>
      <c r="G13">
        <f>ABS($B13/$A13*V26_LCC!E$35)</f>
        <v>4.4133591595365518</v>
      </c>
      <c r="H13">
        <f>ABS($B13/$A13*V26_LCC!F$35)</f>
        <v>6.6200387393048281</v>
      </c>
      <c r="I13">
        <f>ABS($B13/$A13*V26_LCC!G$35)</f>
        <v>10.067975582692759</v>
      </c>
      <c r="J13">
        <f>I13/V26_LCC!$D$114*A13</f>
        <v>0.52353473030002351</v>
      </c>
      <c r="L13" t="s">
        <v>154</v>
      </c>
      <c r="M13" t="s">
        <v>156</v>
      </c>
      <c r="P13">
        <f>SUMPRODUCT($D$2:$D$69,E2:E69)/$M$3</f>
        <v>1.3162870907258672</v>
      </c>
      <c r="Q13">
        <f t="shared" ref="Q13:T13" si="2">SUMPRODUCT($D$2:$D$69,F2:F69)/$M$3</f>
        <v>3.0011345668549776</v>
      </c>
      <c r="R13">
        <f t="shared" si="2"/>
        <v>5.265148362903469</v>
      </c>
      <c r="S13">
        <f t="shared" si="2"/>
        <v>7.8977225443552044</v>
      </c>
      <c r="T13">
        <f t="shared" si="2"/>
        <v>12.01111970287354</v>
      </c>
    </row>
    <row r="14" spans="1:20" x14ac:dyDescent="0.3">
      <c r="A14">
        <v>1.6</v>
      </c>
      <c r="B14" s="1">
        <v>2.83343633293263E-2</v>
      </c>
      <c r="C14" s="1">
        <v>1.7708977080828942E-2</v>
      </c>
      <c r="D14">
        <v>68</v>
      </c>
      <c r="E14">
        <f>ABS($B14/$A14*V26_LCC!D$26)</f>
        <v>1.1814157833703032</v>
      </c>
      <c r="F14">
        <f>ABS($B14/$A14*V26_LCC!D$35)</f>
        <v>2.6936279860842918</v>
      </c>
      <c r="G14">
        <f>ABS($B14/$A14*V26_LCC!E$35)</f>
        <v>4.7256631334812127</v>
      </c>
      <c r="H14">
        <f>ABS($B14/$A14*V26_LCC!F$35)</f>
        <v>7.0884947002218199</v>
      </c>
      <c r="I14">
        <f>ABS($B14/$A14*V26_LCC!G$35)</f>
        <v>10.780419023254018</v>
      </c>
      <c r="J14">
        <f>I14/V26_LCC!$D$114*A14</f>
        <v>0.56058178920920898</v>
      </c>
    </row>
    <row r="15" spans="1:20" x14ac:dyDescent="0.3">
      <c r="A15">
        <v>1.6</v>
      </c>
      <c r="B15" s="1">
        <v>3.2982023975543492E-2</v>
      </c>
      <c r="C15" s="1">
        <v>2.0613764984714681E-2</v>
      </c>
      <c r="D15">
        <v>8</v>
      </c>
      <c r="E15">
        <f>ABS($B15/$A15*V26_LCC!D$26)</f>
        <v>1.3752023731507401</v>
      </c>
      <c r="F15">
        <f>ABS($B15/$A15*V26_LCC!D$35)</f>
        <v>3.1354614107836878</v>
      </c>
      <c r="G15">
        <f>ABS($B15/$A15*V26_LCC!E$35)</f>
        <v>5.5008094926029605</v>
      </c>
      <c r="H15">
        <f>ABS($B15/$A15*V26_LCC!F$35)</f>
        <v>8.2512142389044421</v>
      </c>
      <c r="I15">
        <f>ABS($B15/$A15*V26_LCC!G$35)</f>
        <v>12.548721655000504</v>
      </c>
      <c r="J15">
        <f>I15/V26_LCC!$D$114*A15</f>
        <v>0.65253352606002624</v>
      </c>
    </row>
    <row r="16" spans="1:20" x14ac:dyDescent="0.3">
      <c r="A16">
        <v>1.6</v>
      </c>
      <c r="B16" s="1">
        <v>3.6155484212083998E-2</v>
      </c>
      <c r="C16" s="1">
        <v>2.25971776325525E-2</v>
      </c>
      <c r="D16">
        <v>8</v>
      </c>
      <c r="E16">
        <f>ABS($B16/$A16*V26_LCC!D$26)</f>
        <v>1.5075214222068585</v>
      </c>
      <c r="F16">
        <f>ABS($B16/$A16*V26_LCC!D$35)</f>
        <v>3.4371488426316379</v>
      </c>
      <c r="G16">
        <f>ABS($B16/$A16*V26_LCC!E$35)</f>
        <v>6.0300856888274339</v>
      </c>
      <c r="H16">
        <f>ABS($B16/$A16*V26_LCC!F$35)</f>
        <v>9.0451285332411526</v>
      </c>
      <c r="I16">
        <f>ABS($B16/$A16*V26_LCC!G$35)</f>
        <v>13.756132977637584</v>
      </c>
      <c r="J16">
        <f>I16/V26_LCC!$D$114*A16</f>
        <v>0.71531891483715448</v>
      </c>
      <c r="N16">
        <v>0</v>
      </c>
    </row>
    <row r="17" spans="1:12" x14ac:dyDescent="0.3">
      <c r="A17">
        <v>1.6</v>
      </c>
      <c r="B17" s="1">
        <v>4.2204970862254478E-2</v>
      </c>
      <c r="C17" s="1">
        <v>2.6378106788909051E-2</v>
      </c>
      <c r="D17">
        <v>8</v>
      </c>
      <c r="E17">
        <f>ABS($B17/$A17*V26_LCC!D$26)</f>
        <v>1.7597578648165355</v>
      </c>
      <c r="F17">
        <f>ABS($B17/$A17*V26_LCC!D$35)</f>
        <v>4.0122479317817019</v>
      </c>
      <c r="G17">
        <f>ABS($B17/$A17*V26_LCC!E$35)</f>
        <v>7.039031459266142</v>
      </c>
      <c r="H17">
        <f>ABS($B17/$A17*V26_LCC!F$35)</f>
        <v>10.558547188899215</v>
      </c>
      <c r="I17">
        <f>ABS($B17/$A17*V26_LCC!G$35)</f>
        <v>16.057790516450886</v>
      </c>
      <c r="J17">
        <f>I17/V26_LCC!$D$114*A17</f>
        <v>0.83500510685544627</v>
      </c>
    </row>
    <row r="18" spans="1:12" x14ac:dyDescent="0.3">
      <c r="A18">
        <v>1.86</v>
      </c>
      <c r="B18" s="1">
        <v>3.3210176328327998E-2</v>
      </c>
      <c r="C18" s="1">
        <v>1.785493350985376E-2</v>
      </c>
      <c r="D18">
        <v>8</v>
      </c>
      <c r="E18">
        <f>ABS($B18/$A18*V26_LCC!D$26)</f>
        <v>1.1911529482075067</v>
      </c>
      <c r="F18">
        <f>ABS($B18/$A18*V26_LCC!D$35)</f>
        <v>2.7158287219131161</v>
      </c>
      <c r="G18">
        <f>ABS($B18/$A18*V26_LCC!E$35)</f>
        <v>4.7646117928300269</v>
      </c>
      <c r="H18">
        <f>ABS($B18/$A18*V26_LCC!F$35)</f>
        <v>7.1469176892450417</v>
      </c>
      <c r="I18">
        <f>ABS($B18/$A18*V26_LCC!G$35)</f>
        <v>10.869270652393499</v>
      </c>
      <c r="J18">
        <f>I18/V26_LCC!$D$114*A18</f>
        <v>0.65704741093718722</v>
      </c>
    </row>
    <row r="19" spans="1:12" x14ac:dyDescent="0.3">
      <c r="A19">
        <v>1.86</v>
      </c>
      <c r="B19" s="1">
        <v>4.5445247630266708E-2</v>
      </c>
      <c r="C19" s="1">
        <v>2.4432928833476732E-2</v>
      </c>
      <c r="D19">
        <v>8</v>
      </c>
      <c r="E19">
        <f>ABS($B19/$A19*V26_LCC!D$26)</f>
        <v>1.6299895598759007</v>
      </c>
      <c r="F19">
        <f>ABS($B19/$A19*V26_LCC!D$35)</f>
        <v>3.7163761965170541</v>
      </c>
      <c r="G19">
        <f>ABS($B19/$A19*V26_LCC!E$35)</f>
        <v>6.5199582395036026</v>
      </c>
      <c r="H19">
        <f>ABS($B19/$A19*V26_LCC!F$35)</f>
        <v>9.7799373592554062</v>
      </c>
      <c r="I19">
        <f>ABS($B19/$A19*V26_LCC!G$35)</f>
        <v>14.873654733867594</v>
      </c>
      <c r="J19">
        <f>I19/V26_LCC!$D$114*A19</f>
        <v>0.89911242866229613</v>
      </c>
    </row>
    <row r="20" spans="1:12" x14ac:dyDescent="0.3">
      <c r="A20">
        <v>1.86</v>
      </c>
      <c r="B20" s="1">
        <v>4.7583151384171782E-2</v>
      </c>
      <c r="C20" s="1">
        <v>2.5582339453855799E-2</v>
      </c>
      <c r="D20">
        <v>1152</v>
      </c>
      <c r="E20">
        <f>ABS($B20/$A20*V26_LCC!D$26)</f>
        <v>1.706669982595479</v>
      </c>
      <c r="F20">
        <f>ABS($B20/$A20*V26_LCC!D$35)</f>
        <v>3.8912075603176928</v>
      </c>
      <c r="G20">
        <f>ABS($B20/$A20*V26_LCC!E$35)</f>
        <v>6.8266799303819159</v>
      </c>
      <c r="H20">
        <f>ABS($B20/$A20*V26_LCC!F$35)</f>
        <v>10.240019895572875</v>
      </c>
      <c r="I20">
        <f>ABS($B20/$A20*V26_LCC!G$35)</f>
        <v>15.573363591183746</v>
      </c>
      <c r="J20">
        <f>I20/V26_LCC!$D$114*A20</f>
        <v>0.9414098290870575</v>
      </c>
    </row>
    <row r="21" spans="1:12" x14ac:dyDescent="0.3">
      <c r="A21">
        <v>1.86</v>
      </c>
      <c r="B21" s="1">
        <v>4.7763409464855883E-2</v>
      </c>
      <c r="C21" s="1">
        <v>2.5679252400460151E-2</v>
      </c>
      <c r="D21">
        <v>8</v>
      </c>
      <c r="E21">
        <f>ABS($B21/$A21*V26_LCC!D$26)</f>
        <v>1.7131353184648928</v>
      </c>
      <c r="F21">
        <f>ABS($B21/$A21*V26_LCC!D$35)</f>
        <v>3.905948526099956</v>
      </c>
      <c r="G21">
        <f>ABS($B21/$A21*V26_LCC!E$35)</f>
        <v>6.852541273859571</v>
      </c>
      <c r="H21">
        <f>ABS($B21/$A21*V26_LCC!F$35)</f>
        <v>10.278811910789358</v>
      </c>
      <c r="I21">
        <f>ABS($B21/$A21*V26_LCC!G$35)</f>
        <v>15.632359780992147</v>
      </c>
      <c r="J21">
        <f>I21/V26_LCC!$D$114*A21</f>
        <v>0.94497614876097547</v>
      </c>
    </row>
    <row r="22" spans="1:12" x14ac:dyDescent="0.3">
      <c r="A22">
        <v>1.86</v>
      </c>
      <c r="B22" s="1">
        <v>4.9579959503476302E-2</v>
      </c>
      <c r="C22" s="1">
        <v>2.665589220617005E-2</v>
      </c>
      <c r="D22">
        <v>8</v>
      </c>
      <c r="E22">
        <f>ABS($B22/$A22*V26_LCC!D$26)</f>
        <v>1.7782897130901172</v>
      </c>
      <c r="F22">
        <f>ABS($B22/$A22*V26_LCC!D$35)</f>
        <v>4.0545005458454684</v>
      </c>
      <c r="G22">
        <f>ABS($B22/$A22*V26_LCC!E$35)</f>
        <v>7.1131588523604687</v>
      </c>
      <c r="H22">
        <f>ABS($B22/$A22*V26_LCC!F$35)</f>
        <v>10.669738278540706</v>
      </c>
      <c r="I22">
        <f>ABS($B22/$A22*V26_LCC!G$35)</f>
        <v>16.22689363194732</v>
      </c>
      <c r="J22">
        <f>I22/V26_LCC!$D$114*A22</f>
        <v>0.98091572005121563</v>
      </c>
      <c r="L22" s="1"/>
    </row>
    <row r="23" spans="1:12" x14ac:dyDescent="0.3">
      <c r="A23">
        <v>1.86</v>
      </c>
      <c r="B23" s="1">
        <v>5.344437744614898E-2</v>
      </c>
      <c r="C23" s="1">
        <v>2.8733536261370419E-2</v>
      </c>
      <c r="D23">
        <v>8</v>
      </c>
      <c r="E23">
        <f>ABS($B23/$A23*V26_LCC!D$26)</f>
        <v>1.9168952049734631</v>
      </c>
      <c r="F23">
        <f>ABS($B23/$A23*V26_LCC!D$35)</f>
        <v>4.3705210673394967</v>
      </c>
      <c r="G23">
        <f>ABS($B23/$A23*V26_LCC!E$35)</f>
        <v>7.6675808198938524</v>
      </c>
      <c r="H23">
        <f>ABS($B23/$A23*V26_LCC!F$35)</f>
        <v>11.50137122984078</v>
      </c>
      <c r="I23">
        <f>ABS($B23/$A23*V26_LCC!G$35)</f>
        <v>17.491668745382853</v>
      </c>
      <c r="J23">
        <f>I23/V26_LCC!$D$114*A23</f>
        <v>1.0573713756583936</v>
      </c>
    </row>
    <row r="24" spans="1:12" x14ac:dyDescent="0.3">
      <c r="A24">
        <v>1.86</v>
      </c>
      <c r="B24" s="1">
        <v>5.3887111387649601E-2</v>
      </c>
      <c r="C24" s="1">
        <v>2.8971565262177201E-2</v>
      </c>
      <c r="D24">
        <v>8</v>
      </c>
      <c r="E24">
        <f>ABS($B24/$A24*V26_LCC!D$26)</f>
        <v>1.9327747906304702</v>
      </c>
      <c r="F24">
        <f>ABS($B24/$A24*V26_LCC!D$35)</f>
        <v>4.4067265226374728</v>
      </c>
      <c r="G24">
        <f>ABS($B24/$A24*V26_LCC!E$35)</f>
        <v>7.7310991625218808</v>
      </c>
      <c r="H24">
        <f>ABS($B24/$A24*V26_LCC!F$35)</f>
        <v>11.596648743782824</v>
      </c>
      <c r="I24">
        <f>ABS($B24/$A24*V26_LCC!G$35)</f>
        <v>17.636569964503042</v>
      </c>
      <c r="J24">
        <f>I24/V26_LCC!$D$114*A24</f>
        <v>1.0661306543542091</v>
      </c>
    </row>
    <row r="25" spans="1:12" x14ac:dyDescent="0.3">
      <c r="A25">
        <v>1.86</v>
      </c>
      <c r="B25" s="1">
        <v>6.0596838015260023E-2</v>
      </c>
      <c r="C25" s="1">
        <v>3.2578945169494632E-2</v>
      </c>
      <c r="D25">
        <v>8</v>
      </c>
      <c r="E25">
        <f>ABS($B25/$A25*V26_LCC!D$26)</f>
        <v>2.1734332735945365</v>
      </c>
      <c r="F25">
        <f>ABS($B25/$A25*V26_LCC!D$35)</f>
        <v>4.9554278637955438</v>
      </c>
      <c r="G25">
        <f>ABS($B25/$A25*V26_LCC!E$35)</f>
        <v>8.6937330943781461</v>
      </c>
      <c r="H25">
        <f>ABS($B25/$A25*V26_LCC!F$35)</f>
        <v>13.040599641567221</v>
      </c>
      <c r="I25">
        <f>ABS($B25/$A25*V26_LCC!G$35)</f>
        <v>19.832578621550145</v>
      </c>
      <c r="J25">
        <f>I25/V26_LCC!$D$114*A25</f>
        <v>1.1988793776727065</v>
      </c>
    </row>
    <row r="26" spans="1:12" x14ac:dyDescent="0.3">
      <c r="A26">
        <v>1.86</v>
      </c>
      <c r="B26" s="1">
        <v>7.5146183759148014E-2</v>
      </c>
      <c r="C26" s="1">
        <v>4.0401174064058069E-2</v>
      </c>
      <c r="D26">
        <v>8</v>
      </c>
      <c r="E26">
        <f>ABS($B26/$A26*V26_LCC!D$26)</f>
        <v>2.6952762143241151</v>
      </c>
      <c r="F26">
        <f>ABS($B26/$A26*V26_LCC!D$35)</f>
        <v>6.1452297686589841</v>
      </c>
      <c r="G26">
        <f>ABS($B26/$A26*V26_LCC!E$35)</f>
        <v>10.781104857296461</v>
      </c>
      <c r="H26">
        <f>ABS($B26/$A26*V26_LCC!F$35)</f>
        <v>16.171657285944693</v>
      </c>
      <c r="I26">
        <f>ABS($B26/$A26*V26_LCC!G$35)</f>
        <v>24.594395455707552</v>
      </c>
      <c r="J26">
        <f>I26/V26_LCC!$D$114*A26</f>
        <v>1.4867312052975219</v>
      </c>
    </row>
    <row r="27" spans="1:12" x14ac:dyDescent="0.3">
      <c r="A27">
        <v>2.89</v>
      </c>
      <c r="B27" s="1">
        <v>-5.1354231109761443E-2</v>
      </c>
      <c r="C27" s="1">
        <v>-1.776963014178597E-2</v>
      </c>
      <c r="D27">
        <v>8</v>
      </c>
      <c r="E27">
        <f>ABS($B27/$A27*V26_LCC!D$26)</f>
        <v>1.1854621200501292</v>
      </c>
      <c r="F27">
        <f>ABS($B27/$A27*V26_LCC!D$35)</f>
        <v>2.702853633714295</v>
      </c>
      <c r="G27">
        <f>ABS($B27/$A27*V26_LCC!E$35)</f>
        <v>4.7418484802005167</v>
      </c>
      <c r="H27">
        <f>ABS($B27/$A27*V26_LCC!F$35)</f>
        <v>7.112772720300776</v>
      </c>
      <c r="I27">
        <f>ABS($B27/$A27*V26_LCC!G$35)</f>
        <v>10.817341845457429</v>
      </c>
      <c r="J27">
        <f>I27/V26_LCC!$D$114*A27</f>
        <v>1.0160188328345892</v>
      </c>
    </row>
    <row r="28" spans="1:12" x14ac:dyDescent="0.3">
      <c r="A28">
        <v>2.89</v>
      </c>
      <c r="B28" s="1">
        <v>-4.8973887434372643E-2</v>
      </c>
      <c r="C28" s="1">
        <v>-1.6945981811201601E-2</v>
      </c>
      <c r="D28">
        <v>8</v>
      </c>
      <c r="E28">
        <f>ABS($B28/$A28*V26_LCC!D$26)</f>
        <v>1.1305142180195609</v>
      </c>
      <c r="F28">
        <f>ABS($B28/$A28*V26_LCC!D$35)</f>
        <v>2.5775724170845993</v>
      </c>
      <c r="G28">
        <f>ABS($B28/$A28*V26_LCC!E$35)</f>
        <v>4.5220568720782435</v>
      </c>
      <c r="H28">
        <f>ABS($B28/$A28*V26_LCC!F$35)</f>
        <v>6.7830853081173661</v>
      </c>
      <c r="I28">
        <f>ABS($B28/$A28*V26_LCC!G$35)</f>
        <v>10.315942239428495</v>
      </c>
      <c r="J28">
        <f>I28/V26_LCC!$D$114*A28</f>
        <v>0.96892487483832146</v>
      </c>
    </row>
    <row r="29" spans="1:12" x14ac:dyDescent="0.3">
      <c r="A29">
        <v>2.89</v>
      </c>
      <c r="B29" s="1">
        <v>-4.3433855167884818E-2</v>
      </c>
      <c r="C29" s="1">
        <v>-1.502901562902589E-2</v>
      </c>
      <c r="D29">
        <v>8</v>
      </c>
      <c r="E29">
        <f>ABS($B29/$A29*V26_LCC!D$26)</f>
        <v>1.0026280000029812</v>
      </c>
      <c r="F29">
        <f>ABS($B29/$A29*V26_LCC!D$35)</f>
        <v>2.2859918400067976</v>
      </c>
      <c r="G29">
        <f>ABS($B29/$A29*V26_LCC!E$35)</f>
        <v>4.010512000011925</v>
      </c>
      <c r="H29">
        <f>ABS($B29/$A29*V26_LCC!F$35)</f>
        <v>6.0157680000178884</v>
      </c>
      <c r="I29">
        <f>ABS($B29/$A29*V26_LCC!G$35)</f>
        <v>9.1489805000272035</v>
      </c>
      <c r="J29">
        <f>I29/V26_LCC!$D$114*A29</f>
        <v>0.85931799346505522</v>
      </c>
    </row>
    <row r="30" spans="1:12" x14ac:dyDescent="0.3">
      <c r="A30">
        <v>2.89</v>
      </c>
      <c r="B30" s="1">
        <v>-4.1273817971966748E-2</v>
      </c>
      <c r="C30" s="1">
        <v>-1.428159791417535E-2</v>
      </c>
      <c r="D30">
        <v>1160</v>
      </c>
      <c r="E30">
        <f>ABS($B30/$A30*V26_LCC!D$26)</f>
        <v>0.95276565724514284</v>
      </c>
      <c r="F30">
        <f>ABS($B30/$A30*V26_LCC!D$35)</f>
        <v>2.172305698518926</v>
      </c>
      <c r="G30">
        <f>ABS($B30/$A30*V26_LCC!E$35)</f>
        <v>3.8110626289805714</v>
      </c>
      <c r="H30">
        <f>ABS($B30/$A30*V26_LCC!F$35)</f>
        <v>5.7165939434708575</v>
      </c>
      <c r="I30">
        <f>ABS($B30/$A30*V26_LCC!G$35)</f>
        <v>8.693986622361928</v>
      </c>
      <c r="J30">
        <f>I30/V26_LCC!$D$114*A30</f>
        <v>0.81658269350534418</v>
      </c>
    </row>
    <row r="31" spans="1:12" x14ac:dyDescent="0.3">
      <c r="A31">
        <v>2.89</v>
      </c>
      <c r="B31" s="1">
        <v>-4.0962348658045357E-2</v>
      </c>
      <c r="C31" s="1">
        <v>-1.4173823065067599E-2</v>
      </c>
      <c r="D31">
        <v>8</v>
      </c>
      <c r="E31">
        <f>ABS($B31/$A31*V26_LCC!D$26)</f>
        <v>0.94557569323959423</v>
      </c>
      <c r="F31">
        <f>ABS($B31/$A31*V26_LCC!D$35)</f>
        <v>2.1559125805862749</v>
      </c>
      <c r="G31">
        <f>ABS($B31/$A31*V26_LCC!E$35)</f>
        <v>3.7823027729583769</v>
      </c>
      <c r="H31">
        <f>ABS($B31/$A31*V26_LCC!F$35)</f>
        <v>5.6734541594375658</v>
      </c>
      <c r="I31">
        <f>ABS($B31/$A31*V26_LCC!G$35)</f>
        <v>8.6283782008112979</v>
      </c>
      <c r="J31">
        <f>I31/V26_LCC!$D$114*A31</f>
        <v>0.81042042251120128</v>
      </c>
    </row>
    <row r="32" spans="1:12" x14ac:dyDescent="0.3">
      <c r="A32">
        <v>2.89</v>
      </c>
      <c r="B32" s="1">
        <v>-3.9896023353292627E-2</v>
      </c>
      <c r="C32" s="1">
        <v>-1.3804852371381531E-2</v>
      </c>
      <c r="D32">
        <v>8</v>
      </c>
      <c r="E32">
        <f>ABS($B32/$A32*V26_LCC!D$26)</f>
        <v>0.92096061812078867</v>
      </c>
      <c r="F32">
        <f>ABS($B32/$A32*V26_LCC!D$35)</f>
        <v>2.0997902093153984</v>
      </c>
      <c r="G32">
        <f>ABS($B32/$A32*V26_LCC!E$35)</f>
        <v>3.6838424724831547</v>
      </c>
      <c r="H32">
        <f>ABS($B32/$A32*V26_LCC!F$35)</f>
        <v>5.5257637087247327</v>
      </c>
      <c r="I32">
        <f>ABS($B32/$A32*V26_LCC!G$35)</f>
        <v>8.4037656403521979</v>
      </c>
      <c r="J32">
        <f>I32/V26_LCC!$D$114*A32</f>
        <v>0.78932368777008022</v>
      </c>
    </row>
    <row r="33" spans="1:10" x14ac:dyDescent="0.3">
      <c r="A33">
        <v>2.89</v>
      </c>
      <c r="B33" s="1">
        <v>-3.6544259515709512E-2</v>
      </c>
      <c r="C33" s="1">
        <v>-1.2645072496785301E-2</v>
      </c>
      <c r="D33">
        <v>8</v>
      </c>
      <c r="E33">
        <f>ABS($B33/$A33*V26_LCC!D$26)</f>
        <v>0.84358843322104493</v>
      </c>
      <c r="F33">
        <f>ABS($B33/$A33*V26_LCC!D$35)</f>
        <v>1.9233816277439828</v>
      </c>
      <c r="G33">
        <f>ABS($B33/$A33*V26_LCC!E$35)</f>
        <v>3.3743537328841797</v>
      </c>
      <c r="H33">
        <f>ABS($B33/$A33*V26_LCC!F$35)</f>
        <v>5.0615305993262707</v>
      </c>
      <c r="I33">
        <f>ABS($B33/$A33*V26_LCC!G$35)</f>
        <v>7.6977444531420351</v>
      </c>
      <c r="J33">
        <f>I33/V26_LCC!$D$114*A33</f>
        <v>0.72301064776136581</v>
      </c>
    </row>
    <row r="34" spans="1:10" x14ac:dyDescent="0.3">
      <c r="B34" s="1"/>
      <c r="C34" s="1"/>
    </row>
    <row r="35" spans="1:10" x14ac:dyDescent="0.3">
      <c r="B35" s="1"/>
      <c r="C35" s="1"/>
    </row>
    <row r="36" spans="1:10" x14ac:dyDescent="0.3">
      <c r="B36" s="1"/>
      <c r="C36" s="1"/>
    </row>
    <row r="37" spans="1:10" x14ac:dyDescent="0.3">
      <c r="B37" s="1"/>
      <c r="C37" s="1"/>
    </row>
    <row r="38" spans="1:10" x14ac:dyDescent="0.3">
      <c r="B38" s="1"/>
      <c r="C38" s="1"/>
    </row>
    <row r="39" spans="1:10" x14ac:dyDescent="0.3">
      <c r="B39" s="1"/>
      <c r="C39" s="1"/>
    </row>
    <row r="40" spans="1:10" x14ac:dyDescent="0.3">
      <c r="B40" s="1"/>
      <c r="C40" s="1"/>
    </row>
    <row r="41" spans="1:10" x14ac:dyDescent="0.3">
      <c r="B41" s="1"/>
      <c r="C41" s="1"/>
    </row>
    <row r="42" spans="1:10" x14ac:dyDescent="0.3">
      <c r="B42" s="1"/>
      <c r="C42" s="1"/>
    </row>
    <row r="43" spans="1:10" x14ac:dyDescent="0.3">
      <c r="B43" s="1"/>
      <c r="C43" s="1"/>
    </row>
    <row r="44" spans="1:10" x14ac:dyDescent="0.3">
      <c r="B44" s="1"/>
      <c r="C44" s="1"/>
    </row>
    <row r="45" spans="1:10" x14ac:dyDescent="0.3">
      <c r="B45" s="1"/>
      <c r="C45" s="1"/>
    </row>
    <row r="46" spans="1:10" x14ac:dyDescent="0.3">
      <c r="B46" s="1"/>
      <c r="C46" s="1"/>
    </row>
    <row r="47" spans="1:10" x14ac:dyDescent="0.3">
      <c r="B47" s="1"/>
      <c r="C47" s="1"/>
    </row>
    <row r="48" spans="1:10" x14ac:dyDescent="0.3">
      <c r="B48" s="1"/>
      <c r="C48" s="1"/>
    </row>
    <row r="49" spans="2:3" x14ac:dyDescent="0.3">
      <c r="B49" s="1"/>
      <c r="C49" s="1"/>
    </row>
    <row r="50" spans="2:3" x14ac:dyDescent="0.3">
      <c r="B50" s="1"/>
      <c r="C50" s="1"/>
    </row>
    <row r="51" spans="2:3" x14ac:dyDescent="0.3">
      <c r="B51" s="1"/>
      <c r="C51" s="1"/>
    </row>
    <row r="52" spans="2:3" x14ac:dyDescent="0.3">
      <c r="B52" s="1"/>
      <c r="C52" s="1"/>
    </row>
    <row r="53" spans="2:3" x14ac:dyDescent="0.3">
      <c r="B53" s="1"/>
      <c r="C53" s="1"/>
    </row>
    <row r="54" spans="2:3" x14ac:dyDescent="0.3">
      <c r="B54" s="1"/>
      <c r="C54" s="1"/>
    </row>
    <row r="55" spans="2:3" x14ac:dyDescent="0.3">
      <c r="B55" s="1"/>
      <c r="C55" s="1"/>
    </row>
    <row r="56" spans="2:3" x14ac:dyDescent="0.3">
      <c r="B56" s="1"/>
      <c r="C56" s="1"/>
    </row>
    <row r="57" spans="2:3" x14ac:dyDescent="0.3">
      <c r="B57" s="1"/>
      <c r="C57" s="1"/>
    </row>
    <row r="58" spans="2:3" x14ac:dyDescent="0.3">
      <c r="B58" s="1"/>
      <c r="C58" s="1"/>
    </row>
    <row r="59" spans="2:3" x14ac:dyDescent="0.3">
      <c r="B59" s="1"/>
      <c r="C59" s="1"/>
    </row>
    <row r="60" spans="2:3" x14ac:dyDescent="0.3">
      <c r="B60" s="1"/>
      <c r="C60" s="1"/>
    </row>
    <row r="61" spans="2:3" x14ac:dyDescent="0.3">
      <c r="B61" s="1"/>
      <c r="C61" s="1"/>
    </row>
    <row r="62" spans="2:3" x14ac:dyDescent="0.3">
      <c r="B62" s="1"/>
      <c r="C62" s="1"/>
    </row>
    <row r="63" spans="2:3" x14ac:dyDescent="0.3">
      <c r="B63" s="1"/>
      <c r="C63" s="1"/>
    </row>
    <row r="64" spans="2:3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86B1E067-D361-40F8-BAF0-978A524D06D6}">
            <xm:f>V26_LCC!$D$114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P12:T13</xm:sqref>
        </x14:conditionalFormatting>
        <x14:conditionalFormatting xmlns:xm="http://schemas.microsoft.com/office/excel/2006/main">
          <x14:cfRule type="cellIs" priority="1" operator="greaterThan" id="{7B43FC53-F9CA-4D82-9565-01E862BDDE88}">
            <xm:f>V26_LCC!$D$114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P11:T11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"/>
  <sheetViews>
    <sheetView workbookViewId="0">
      <selection activeCell="A11" sqref="A11"/>
    </sheetView>
  </sheetViews>
  <sheetFormatPr baseColWidth="10" defaultRowHeight="14.4" x14ac:dyDescent="0.3"/>
  <cols>
    <col min="2" max="2" width="17.5546875" bestFit="1" customWidth="1"/>
    <col min="3" max="3" width="17.5546875" customWidth="1"/>
    <col min="5" max="5" width="20.6640625" bestFit="1" customWidth="1"/>
    <col min="12" max="12" width="25.33203125" bestFit="1" customWidth="1"/>
  </cols>
  <sheetData>
    <row r="1" spans="1:20" x14ac:dyDescent="0.3">
      <c r="A1" t="s">
        <v>152</v>
      </c>
      <c r="B1" t="s">
        <v>312</v>
      </c>
      <c r="C1" t="s">
        <v>314</v>
      </c>
      <c r="D1" t="s">
        <v>150</v>
      </c>
      <c r="E1" t="s">
        <v>151</v>
      </c>
      <c r="F1" t="s">
        <v>153</v>
      </c>
      <c r="J1" t="s">
        <v>165</v>
      </c>
    </row>
    <row r="2" spans="1:20" x14ac:dyDescent="0.3">
      <c r="A2">
        <v>0.3</v>
      </c>
      <c r="B2" s="1">
        <v>-0.24228806425641161</v>
      </c>
      <c r="C2" s="1">
        <f>B2/A2</f>
        <v>-0.80762688085470535</v>
      </c>
      <c r="D2">
        <v>8</v>
      </c>
      <c r="E2">
        <f>ABS($B2/$A2*V26_LCC!D$26)</f>
        <v>53.879065954001099</v>
      </c>
      <c r="F2">
        <f>ABS($B2/$A2*V26_LCC!D$35)</f>
        <v>122.84427037512253</v>
      </c>
      <c r="G2">
        <f>ABS($B2/$A2*V26_LCC!E$35)</f>
        <v>215.5162638160044</v>
      </c>
      <c r="H2">
        <f>ABS($B2/$A2*V26_LCC!F$35)</f>
        <v>323.27439572400664</v>
      </c>
      <c r="I2">
        <f>ABS($B2/$A2*V26_LCC!G$35)</f>
        <v>491.6464768302601</v>
      </c>
      <c r="J2">
        <f>I2/V26_LCC!$G$125*A2</f>
        <v>0.11127891238970622</v>
      </c>
    </row>
    <row r="3" spans="1:20" x14ac:dyDescent="0.3">
      <c r="A3">
        <v>0.3</v>
      </c>
      <c r="B3" s="1">
        <v>-0.20527083861782419</v>
      </c>
      <c r="C3" s="1">
        <f t="shared" ref="C3:C13" si="0">B3/A3</f>
        <v>-0.68423612872608064</v>
      </c>
      <c r="D3">
        <v>8</v>
      </c>
      <c r="E3">
        <f>ABS($B3/$A3*V26_LCC!D$26)</f>
        <v>45.647321036080271</v>
      </c>
      <c r="F3">
        <f>ABS($B3/$A3*V26_LCC!D$35)</f>
        <v>104.07589196226304</v>
      </c>
      <c r="G3">
        <f>ABS($B3/$A3*V26_LCC!E$35)</f>
        <v>182.58928414432108</v>
      </c>
      <c r="H3">
        <f>ABS($B3/$A3*V26_LCC!F$35)</f>
        <v>273.88392621648165</v>
      </c>
      <c r="I3">
        <f>ABS($B3/$A3*V26_LCC!G$35)</f>
        <v>416.53180445423249</v>
      </c>
      <c r="J3">
        <f>I3/V26_LCC!$G$125*A3</f>
        <v>9.4277511097453526E-2</v>
      </c>
      <c r="L3" t="s">
        <v>155</v>
      </c>
      <c r="M3">
        <f>SUM(D2:D25)</f>
        <v>1888</v>
      </c>
    </row>
    <row r="4" spans="1:20" x14ac:dyDescent="0.3">
      <c r="A4">
        <v>0.3</v>
      </c>
      <c r="B4" s="1">
        <v>-0.16295373941796579</v>
      </c>
      <c r="C4" s="1">
        <f t="shared" si="0"/>
        <v>-0.54317913139321927</v>
      </c>
      <c r="D4">
        <v>8</v>
      </c>
      <c r="E4">
        <f>ABS($B4/$A4*V26_LCC!D$26)</f>
        <v>36.237011098739465</v>
      </c>
      <c r="F4">
        <f>ABS($B4/$A4*V26_LCC!D$35)</f>
        <v>82.620385305125993</v>
      </c>
      <c r="G4">
        <f>ABS($B4/$A4*V26_LCC!E$35)</f>
        <v>144.94804439495786</v>
      </c>
      <c r="H4">
        <f>ABS($B4/$A4*V26_LCC!F$35)</f>
        <v>217.42206659243681</v>
      </c>
      <c r="I4">
        <f>ABS($B4/$A4*V26_LCC!G$35)</f>
        <v>330.66272627599761</v>
      </c>
      <c r="J4">
        <f>I4/V26_LCC!$G$125*A4</f>
        <v>7.4841965277647693E-2</v>
      </c>
      <c r="L4" t="s">
        <v>48</v>
      </c>
      <c r="M4">
        <f>SUMPRODUCT(A2:A25,D2:D25)</f>
        <v>770.56000000000006</v>
      </c>
    </row>
    <row r="5" spans="1:20" x14ac:dyDescent="0.3">
      <c r="A5">
        <v>0.3</v>
      </c>
      <c r="B5" s="1">
        <v>-1.4299126279365609E-2</v>
      </c>
      <c r="C5" s="1">
        <f t="shared" si="0"/>
        <v>-4.7663754264552036E-2</v>
      </c>
      <c r="D5">
        <v>8</v>
      </c>
      <c r="E5">
        <f>ABS($B5/$A5*V26_LCC!D$26)</f>
        <v>3.1797834130004721</v>
      </c>
      <c r="F5">
        <f>ABS($B5/$A5*V26_LCC!D$35)</f>
        <v>7.2499061816410775</v>
      </c>
      <c r="G5">
        <f>ABS($B5/$A5*V26_LCC!E$35)</f>
        <v>12.719133652001888</v>
      </c>
      <c r="H5">
        <f>ABS($B5/$A5*V26_LCC!F$35)</f>
        <v>19.078700478002833</v>
      </c>
      <c r="I5">
        <f>ABS($B5/$A5*V26_LCC!G$35)</f>
        <v>29.015523643629308</v>
      </c>
      <c r="J5">
        <f>I5/V26_LCC!$G$125*A5</f>
        <v>6.5673528961250277E-3</v>
      </c>
      <c r="L5" t="s">
        <v>161</v>
      </c>
      <c r="M5">
        <f>SUMPRODUCT((B2:B25)*(D2:D25)*SIGN(B2:B25))</f>
        <v>1000.0957960253371</v>
      </c>
    </row>
    <row r="6" spans="1:20" x14ac:dyDescent="0.3">
      <c r="A6">
        <v>0.3</v>
      </c>
      <c r="B6" s="1">
        <v>0.1805327122534216</v>
      </c>
      <c r="C6" s="1">
        <f t="shared" si="0"/>
        <v>0.60177570751140541</v>
      </c>
      <c r="D6">
        <v>8</v>
      </c>
      <c r="E6">
        <f>ABS($B6/$A6*V26_LCC!D$26)</f>
        <v>40.146153877653944</v>
      </c>
      <c r="F6">
        <f>ABS($B6/$A6*V26_LCC!D$35)</f>
        <v>91.533230841051008</v>
      </c>
      <c r="G6">
        <f>ABS($B6/$A6*V26_LCC!E$35)</f>
        <v>160.58461551061578</v>
      </c>
      <c r="H6">
        <f>ABS($B6/$A6*V26_LCC!F$35)</f>
        <v>240.87692326592369</v>
      </c>
      <c r="I6">
        <f>ABS($B6/$A6*V26_LCC!G$35)</f>
        <v>366.33365413359223</v>
      </c>
      <c r="J6">
        <f>I6/V26_LCC!$G$125*A6</f>
        <v>8.291569760970148E-2</v>
      </c>
    </row>
    <row r="7" spans="1:20" x14ac:dyDescent="0.3">
      <c r="A7">
        <v>0.3</v>
      </c>
      <c r="B7" s="1">
        <v>0.23271439577832909</v>
      </c>
      <c r="C7" s="1">
        <f t="shared" si="0"/>
        <v>0.77571465259443029</v>
      </c>
      <c r="D7">
        <v>8</v>
      </c>
      <c r="E7">
        <f>ABS($B7/$A7*V26_LCC!D$26)</f>
        <v>51.750111244921996</v>
      </c>
      <c r="F7">
        <f>ABS($B7/$A7*V26_LCC!D$35)</f>
        <v>117.99025363842216</v>
      </c>
      <c r="G7">
        <f>ABS($B7/$A7*V26_LCC!E$35)</f>
        <v>207.00044497968798</v>
      </c>
      <c r="H7">
        <f>ABS($B7/$A7*V26_LCC!F$35)</f>
        <v>310.500667469532</v>
      </c>
      <c r="I7">
        <f>ABS($B7/$A7*V26_LCC!G$35)</f>
        <v>472.21976510991323</v>
      </c>
      <c r="J7">
        <f>I7/V26_LCC!$G$125*A7</f>
        <v>0.10688188433514557</v>
      </c>
    </row>
    <row r="8" spans="1:20" x14ac:dyDescent="0.3">
      <c r="A8">
        <v>0.3</v>
      </c>
      <c r="B8" s="1">
        <v>0.37289708046001252</v>
      </c>
      <c r="C8" s="1">
        <f t="shared" si="0"/>
        <v>1.2429902682000418</v>
      </c>
      <c r="D8">
        <v>464</v>
      </c>
      <c r="E8">
        <f>ABS($B8/$A8*V26_LCC!D$26)</f>
        <v>82.923384830451042</v>
      </c>
      <c r="F8">
        <f>ABS($B8/$A8*V26_LCC!D$35)</f>
        <v>189.06531741342843</v>
      </c>
      <c r="G8">
        <f>ABS($B8/$A8*V26_LCC!E$35)</f>
        <v>331.69353932180417</v>
      </c>
      <c r="H8">
        <f>ABS($B8/$A8*V26_LCC!F$35)</f>
        <v>497.54030898270634</v>
      </c>
      <c r="I8">
        <f>ABS($B8/$A8*V26_LCC!G$35)</f>
        <v>756.67588657786587</v>
      </c>
      <c r="J8">
        <f>I8/V26_LCC!$G$125*A8</f>
        <v>0.17126547968525807</v>
      </c>
    </row>
    <row r="9" spans="1:20" x14ac:dyDescent="0.3">
      <c r="A9">
        <v>0.3</v>
      </c>
      <c r="B9" s="1">
        <v>0.40707198093996561</v>
      </c>
      <c r="C9" s="1">
        <f t="shared" si="0"/>
        <v>1.3569066031332186</v>
      </c>
      <c r="D9">
        <v>448</v>
      </c>
      <c r="E9">
        <f>ABS($B9/$A9*V26_LCC!D$26)</f>
        <v>90.523064668506009</v>
      </c>
      <c r="F9">
        <f>ABS($B9/$A9*V26_LCC!D$35)</f>
        <v>206.39258744419374</v>
      </c>
      <c r="G9">
        <f>ABS($B9/$A9*V26_LCC!E$35)</f>
        <v>362.09225867402404</v>
      </c>
      <c r="H9">
        <f>ABS($B9/$A9*V26_LCC!F$35)</f>
        <v>543.13838801103611</v>
      </c>
      <c r="I9">
        <f>ABS($B9/$A9*V26_LCC!G$35)</f>
        <v>826.02296510011729</v>
      </c>
      <c r="J9">
        <f>I9/V26_LCC!$G$125*A9</f>
        <v>0.18696144790435693</v>
      </c>
    </row>
    <row r="10" spans="1:20" x14ac:dyDescent="0.3">
      <c r="A10">
        <f>0.52</f>
        <v>0.52</v>
      </c>
      <c r="B10" s="1">
        <v>-1.5173156560292009</v>
      </c>
      <c r="C10" s="1">
        <f t="shared" si="0"/>
        <v>-2.9179147231330784</v>
      </c>
      <c r="D10">
        <v>8</v>
      </c>
      <c r="E10">
        <f>ABS($B10/$A10*V26_LCC!D$26)</f>
        <v>194.66231689745032</v>
      </c>
      <c r="F10">
        <f>ABS($B10/$A10*V26_LCC!D$35)</f>
        <v>443.8300825261868</v>
      </c>
      <c r="G10">
        <f>ABS($B10/$A10*V26_LCC!E$35)</f>
        <v>778.6492675898013</v>
      </c>
      <c r="H10">
        <f>ABS($B10/$A10*V26_LCC!F$35)</f>
        <v>1167.973901384702</v>
      </c>
      <c r="I10">
        <f>ABS($B10/$A10*V26_LCC!G$35)</f>
        <v>1776.2936416892342</v>
      </c>
      <c r="J10">
        <f>I10/V26_LCC!$G$125*A10</f>
        <v>0.69687805906986577</v>
      </c>
    </row>
    <row r="11" spans="1:20" x14ac:dyDescent="0.3">
      <c r="A11">
        <v>0.52</v>
      </c>
      <c r="B11" s="1">
        <v>-0.73508665847056598</v>
      </c>
      <c r="C11" s="1">
        <f t="shared" si="0"/>
        <v>-1.4136281893664731</v>
      </c>
      <c r="D11">
        <v>464</v>
      </c>
      <c r="E11">
        <f>ABS($B11/$A11*V26_LCC!D$26)</f>
        <v>94.307121586525895</v>
      </c>
      <c r="F11">
        <f>ABS($B11/$A11*V26_LCC!D$35)</f>
        <v>215.02023721727909</v>
      </c>
      <c r="G11">
        <f>ABS($B11/$A11*V26_LCC!E$35)</f>
        <v>377.22848634610358</v>
      </c>
      <c r="H11">
        <f>ABS($B11/$A11*V26_LCC!F$35)</f>
        <v>565.84272951915545</v>
      </c>
      <c r="I11">
        <f>ABS($B11/$A11*V26_LCC!G$35)</f>
        <v>860.55248447704889</v>
      </c>
      <c r="J11">
        <f>I11/V26_LCC!$G$125*A11</f>
        <v>0.33761318007072799</v>
      </c>
      <c r="L11" t="s">
        <v>159</v>
      </c>
      <c r="M11" t="s">
        <v>160</v>
      </c>
      <c r="P11">
        <f>MIN(E2:E25)</f>
        <v>3.1797834130004721</v>
      </c>
      <c r="Q11">
        <f t="shared" ref="Q11:T11" si="1">MIN(F2:F25)</f>
        <v>7.2499061816410775</v>
      </c>
      <c r="R11">
        <f t="shared" si="1"/>
        <v>12.719133652001888</v>
      </c>
      <c r="S11">
        <f t="shared" si="1"/>
        <v>19.078700478002833</v>
      </c>
      <c r="T11">
        <f t="shared" si="1"/>
        <v>29.015523643629308</v>
      </c>
    </row>
    <row r="12" spans="1:20" x14ac:dyDescent="0.3">
      <c r="A12">
        <v>0.52</v>
      </c>
      <c r="B12" s="1">
        <v>-0.62697235189774636</v>
      </c>
      <c r="C12" s="1">
        <f t="shared" si="0"/>
        <v>-1.2057160613418199</v>
      </c>
      <c r="D12">
        <v>448</v>
      </c>
      <c r="E12">
        <f>ABS($B12/$A12*V26_LCC!D$26)</f>
        <v>80.436717413472735</v>
      </c>
      <c r="F12">
        <f>ABS($B12/$A12*V26_LCC!D$35)</f>
        <v>183.39571570271787</v>
      </c>
      <c r="G12">
        <f>ABS($B12/$A12*V26_LCC!E$35)</f>
        <v>321.74686965389094</v>
      </c>
      <c r="H12">
        <f>ABS($B12/$A12*V26_LCC!F$35)</f>
        <v>482.62030448083652</v>
      </c>
      <c r="I12">
        <f>ABS($B12/$A12*V26_LCC!G$35)</f>
        <v>733.98504639793873</v>
      </c>
      <c r="J12">
        <f>I12/V26_LCC!$G$125*A12</f>
        <v>0.28795806195290569</v>
      </c>
      <c r="L12" t="s">
        <v>157</v>
      </c>
      <c r="M12" t="s">
        <v>158</v>
      </c>
      <c r="P12">
        <f>MAX(E2:E25)</f>
        <v>194.66231689745032</v>
      </c>
      <c r="Q12">
        <f t="shared" ref="Q12:T12" si="2">MAX(F2:F25)</f>
        <v>443.8300825261868</v>
      </c>
      <c r="R12">
        <f t="shared" si="2"/>
        <v>778.6492675898013</v>
      </c>
      <c r="S12">
        <f t="shared" si="2"/>
        <v>1167.973901384702</v>
      </c>
      <c r="T12">
        <f t="shared" si="2"/>
        <v>1776.2936416892342</v>
      </c>
    </row>
    <row r="13" spans="1:20" x14ac:dyDescent="0.3">
      <c r="A13">
        <v>0.52</v>
      </c>
      <c r="B13" s="1">
        <v>-0.28706047364920872</v>
      </c>
      <c r="C13" s="1">
        <f t="shared" si="0"/>
        <v>-0.55203937240232448</v>
      </c>
      <c r="D13">
        <v>8</v>
      </c>
      <c r="E13">
        <f>ABS($B13/$A13*V26_LCC!D$26)</f>
        <v>36.828102753827409</v>
      </c>
      <c r="F13">
        <f>ABS($B13/$A13*V26_LCC!D$35)</f>
        <v>83.968074278726505</v>
      </c>
      <c r="G13">
        <f>ABS($B13/$A13*V26_LCC!E$35)</f>
        <v>147.31241101530964</v>
      </c>
      <c r="H13">
        <f>ABS($B13/$A13*V26_LCC!F$35)</f>
        <v>220.96861652296451</v>
      </c>
      <c r="I13">
        <f>ABS($B13/$A13*V26_LCC!G$35)</f>
        <v>336.05643762867516</v>
      </c>
      <c r="J13">
        <f>I13/V26_LCC!$G$125*A13</f>
        <v>0.13184214169110706</v>
      </c>
      <c r="L13" t="s">
        <v>154</v>
      </c>
      <c r="M13" t="s">
        <v>156</v>
      </c>
      <c r="P13">
        <f>SUMPRODUCT($D$2:$D$25,E2:E25)/$M$3</f>
        <v>86.08240269089471</v>
      </c>
      <c r="Q13">
        <f t="shared" ref="Q13:T13" si="3">SUMPRODUCT($D$2:$D$25,F2:F25)/$M$3</f>
        <v>196.26787813523993</v>
      </c>
      <c r="R13">
        <f t="shared" si="3"/>
        <v>344.32961076357884</v>
      </c>
      <c r="S13">
        <f t="shared" si="3"/>
        <v>516.49441614536818</v>
      </c>
      <c r="T13">
        <f t="shared" si="3"/>
        <v>785.50192455441402</v>
      </c>
    </row>
    <row r="14" spans="1:20" x14ac:dyDescent="0.3">
      <c r="B14" s="1"/>
      <c r="C14" s="1"/>
    </row>
    <row r="15" spans="1:20" x14ac:dyDescent="0.3">
      <c r="B15" s="1"/>
      <c r="C15" s="1"/>
    </row>
    <row r="16" spans="1:20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  <row r="25" spans="2:3" x14ac:dyDescent="0.3">
      <c r="B25" s="1"/>
      <c r="C25" s="1"/>
    </row>
  </sheetData>
  <autoFilter ref="A1:F11" xr:uid="{00000000-0009-0000-0000-000002000000}"/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A59FEBDA-8F75-43C1-B097-D57D5F569BDD}">
            <xm:f>V26_LCC!$D$125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P12:T13</xm:sqref>
        </x14:conditionalFormatting>
        <x14:conditionalFormatting xmlns:xm="http://schemas.microsoft.com/office/excel/2006/main">
          <x14:cfRule type="cellIs" priority="1" operator="greaterThan" id="{A30F5253-E9AD-42AA-908B-B8C802BB2795}">
            <xm:f>V26_LCC!$D$125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P11:T11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selection activeCell="A1000" sqref="A1000"/>
    </sheetView>
  </sheetViews>
  <sheetFormatPr baseColWidth="10" defaultRowHeight="14.4" x14ac:dyDescent="0.3"/>
  <cols>
    <col min="1" max="1" width="12" bestFit="1" customWidth="1"/>
    <col min="5" max="5" width="12" bestFit="1" customWidth="1"/>
  </cols>
  <sheetData>
    <row r="1" spans="1:2" x14ac:dyDescent="0.3">
      <c r="A1">
        <f>TAN(B1)-B1</f>
        <v>1.2919294700881878E-9</v>
      </c>
      <c r="B1">
        <f>ROW()*0.001*PI()/2</f>
        <v>1.5707963267948967E-3</v>
      </c>
    </row>
    <row r="2" spans="1:2" x14ac:dyDescent="0.3">
      <c r="A2">
        <f t="shared" ref="A2:A65" si="0">TAN(B2)-B2</f>
        <v>1.0335466362962342E-8</v>
      </c>
      <c r="B2">
        <f t="shared" ref="B2:B65" si="1">ROW()*0.001*PI()/2</f>
        <v>3.1415926535897933E-3</v>
      </c>
    </row>
    <row r="3" spans="1:2" x14ac:dyDescent="0.3">
      <c r="A3">
        <f t="shared" si="0"/>
        <v>3.4882371113126309E-8</v>
      </c>
      <c r="B3">
        <f t="shared" si="1"/>
        <v>4.7123889803846897E-3</v>
      </c>
    </row>
    <row r="4" spans="1:2" x14ac:dyDescent="0.3">
      <c r="A4">
        <f t="shared" si="0"/>
        <v>8.2684710185458588E-8</v>
      </c>
      <c r="B4">
        <f t="shared" si="1"/>
        <v>6.2831853071795866E-3</v>
      </c>
    </row>
    <row r="5" spans="1:2" x14ac:dyDescent="0.3">
      <c r="A5">
        <f t="shared" si="0"/>
        <v>1.6149500910687953E-7</v>
      </c>
      <c r="B5">
        <f t="shared" si="1"/>
        <v>7.8539816339744835E-3</v>
      </c>
    </row>
    <row r="6" spans="1:2" x14ac:dyDescent="0.3">
      <c r="A6">
        <f t="shared" si="0"/>
        <v>2.7906640551710049E-7</v>
      </c>
      <c r="B6">
        <f t="shared" si="1"/>
        <v>9.4247779607693795E-3</v>
      </c>
    </row>
    <row r="7" spans="1:2" x14ac:dyDescent="0.3">
      <c r="A7">
        <f t="shared" si="0"/>
        <v>4.4315280224235809E-7</v>
      </c>
      <c r="B7">
        <f t="shared" si="1"/>
        <v>1.0995574287564275E-2</v>
      </c>
    </row>
    <row r="8" spans="1:2" x14ac:dyDescent="0.3">
      <c r="A8">
        <f t="shared" si="0"/>
        <v>6.6150902040471027E-7</v>
      </c>
      <c r="B8">
        <f t="shared" si="1"/>
        <v>1.2566370614359173E-2</v>
      </c>
    </row>
    <row r="9" spans="1:2" x14ac:dyDescent="0.3">
      <c r="A9">
        <f t="shared" si="0"/>
        <v>9.4189095257296573E-7</v>
      </c>
      <c r="B9">
        <f t="shared" si="1"/>
        <v>1.4137166941154071E-2</v>
      </c>
    </row>
    <row r="10" spans="1:2" x14ac:dyDescent="0.3">
      <c r="A10">
        <f t="shared" si="0"/>
        <v>1.2920557159491752E-6</v>
      </c>
      <c r="B10">
        <f t="shared" si="1"/>
        <v>1.5707963267948967E-2</v>
      </c>
    </row>
    <row r="11" spans="1:2" x14ac:dyDescent="0.3">
      <c r="A11">
        <f t="shared" si="0"/>
        <v>1.7197618056158381E-6</v>
      </c>
      <c r="B11">
        <f t="shared" si="1"/>
        <v>1.727875959474386E-2</v>
      </c>
    </row>
    <row r="12" spans="1:2" x14ac:dyDescent="0.3">
      <c r="A12">
        <f t="shared" si="0"/>
        <v>2.2327692478264771E-6</v>
      </c>
      <c r="B12">
        <f t="shared" si="1"/>
        <v>1.8849555921538759E-2</v>
      </c>
    </row>
    <row r="13" spans="1:2" x14ac:dyDescent="0.3">
      <c r="A13">
        <f t="shared" si="0"/>
        <v>2.8388397533898879E-6</v>
      </c>
      <c r="B13">
        <f t="shared" si="1"/>
        <v>2.0420352248333658E-2</v>
      </c>
    </row>
    <row r="14" spans="1:2" x14ac:dyDescent="0.3">
      <c r="A14">
        <f t="shared" si="0"/>
        <v>3.5457368710890835E-6</v>
      </c>
      <c r="B14">
        <f t="shared" si="1"/>
        <v>2.1991148575128551E-2</v>
      </c>
    </row>
    <row r="15" spans="1:2" x14ac:dyDescent="0.3">
      <c r="A15">
        <f t="shared" si="0"/>
        <v>4.3612261412043218E-6</v>
      </c>
      <c r="B15">
        <f t="shared" si="1"/>
        <v>2.3561944901923447E-2</v>
      </c>
    </row>
    <row r="16" spans="1:2" x14ac:dyDescent="0.3">
      <c r="A16">
        <f t="shared" si="0"/>
        <v>5.2930752490985833E-6</v>
      </c>
      <c r="B16">
        <f t="shared" si="1"/>
        <v>2.5132741228718346E-2</v>
      </c>
    </row>
    <row r="17" spans="1:2" x14ac:dyDescent="0.3">
      <c r="A17">
        <f t="shared" si="0"/>
        <v>6.3490541789210098E-6</v>
      </c>
      <c r="B17">
        <f t="shared" si="1"/>
        <v>2.6703537555513242E-2</v>
      </c>
    </row>
    <row r="18" spans="1:2" x14ac:dyDescent="0.3">
      <c r="A18">
        <f t="shared" si="0"/>
        <v>7.5369353673727935E-6</v>
      </c>
      <c r="B18">
        <f t="shared" si="1"/>
        <v>2.8274333882308142E-2</v>
      </c>
    </row>
    <row r="19" spans="1:2" x14ac:dyDescent="0.3">
      <c r="A19">
        <f t="shared" si="0"/>
        <v>8.8644938576049048E-6</v>
      </c>
      <c r="B19">
        <f t="shared" si="1"/>
        <v>2.9845130209103034E-2</v>
      </c>
    </row>
    <row r="20" spans="1:2" x14ac:dyDescent="0.3">
      <c r="A20">
        <f t="shared" si="0"/>
        <v>1.0339507453216434E-5</v>
      </c>
      <c r="B20">
        <f t="shared" si="1"/>
        <v>3.1415926535897934E-2</v>
      </c>
    </row>
    <row r="21" spans="1:2" x14ac:dyDescent="0.3">
      <c r="A21">
        <f t="shared" si="0"/>
        <v>1.1969756872350079E-5</v>
      </c>
      <c r="B21">
        <f t="shared" si="1"/>
        <v>3.298672286269283E-2</v>
      </c>
    </row>
    <row r="22" spans="1:2" x14ac:dyDescent="0.3">
      <c r="A22">
        <f t="shared" si="0"/>
        <v>1.3763025901940285E-5</v>
      </c>
      <c r="B22">
        <f t="shared" si="1"/>
        <v>3.4557519189487719E-2</v>
      </c>
    </row>
    <row r="23" spans="1:2" x14ac:dyDescent="0.3">
      <c r="A23">
        <f t="shared" si="0"/>
        <v>1.5727101552079348E-5</v>
      </c>
      <c r="B23">
        <f t="shared" si="1"/>
        <v>3.6128315516282622E-2</v>
      </c>
    </row>
    <row r="24" spans="1:2" x14ac:dyDescent="0.3">
      <c r="A24">
        <f t="shared" si="0"/>
        <v>1.7869774210498013E-5</v>
      </c>
      <c r="B24">
        <f t="shared" si="1"/>
        <v>3.7699111843077518E-2</v>
      </c>
    </row>
    <row r="25" spans="1:2" x14ac:dyDescent="0.3">
      <c r="A25">
        <f t="shared" si="0"/>
        <v>2.0198837797226477E-5</v>
      </c>
      <c r="B25">
        <f t="shared" si="1"/>
        <v>3.9269908169872414E-2</v>
      </c>
    </row>
    <row r="26" spans="1:2" x14ac:dyDescent="0.3">
      <c r="A26">
        <f t="shared" si="0"/>
        <v>2.2722089919373356E-5</v>
      </c>
      <c r="B26">
        <f t="shared" si="1"/>
        <v>4.0840704496667317E-2</v>
      </c>
    </row>
    <row r="27" spans="1:2" x14ac:dyDescent="0.3">
      <c r="A27">
        <f t="shared" si="0"/>
        <v>2.544733202607119E-5</v>
      </c>
      <c r="B27">
        <f t="shared" si="1"/>
        <v>4.2411500823462206E-2</v>
      </c>
    </row>
    <row r="28" spans="1:2" x14ac:dyDescent="0.3">
      <c r="A28">
        <f t="shared" si="0"/>
        <v>2.8382369563581533E-5</v>
      </c>
      <c r="B28">
        <f t="shared" si="1"/>
        <v>4.3982297150257102E-2</v>
      </c>
    </row>
    <row r="29" spans="1:2" x14ac:dyDescent="0.3">
      <c r="A29">
        <f t="shared" si="0"/>
        <v>3.1535012130580464E-5</v>
      </c>
      <c r="B29">
        <f t="shared" si="1"/>
        <v>4.5553093477052005E-2</v>
      </c>
    </row>
    <row r="30" spans="1:2" x14ac:dyDescent="0.3">
      <c r="A30">
        <f t="shared" si="0"/>
        <v>3.4913073633575931E-5</v>
      </c>
      <c r="B30">
        <f t="shared" si="1"/>
        <v>4.7123889803846894E-2</v>
      </c>
    </row>
    <row r="31" spans="1:2" x14ac:dyDescent="0.3">
      <c r="A31">
        <f t="shared" si="0"/>
        <v>3.8524372442581833E-5</v>
      </c>
      <c r="B31">
        <f t="shared" si="1"/>
        <v>4.869468613064179E-2</v>
      </c>
    </row>
    <row r="32" spans="1:2" x14ac:dyDescent="0.3">
      <c r="A32">
        <f t="shared" si="0"/>
        <v>4.2376731546910074E-5</v>
      </c>
      <c r="B32">
        <f t="shared" si="1"/>
        <v>5.0265482457436693E-2</v>
      </c>
    </row>
    <row r="33" spans="1:2" x14ac:dyDescent="0.3">
      <c r="A33">
        <f t="shared" si="0"/>
        <v>4.6477978711184642E-5</v>
      </c>
      <c r="B33">
        <f t="shared" si="1"/>
        <v>5.1836278784231589E-2</v>
      </c>
    </row>
    <row r="34" spans="1:2" x14ac:dyDescent="0.3">
      <c r="A34">
        <f t="shared" si="0"/>
        <v>5.0835946631563877E-5</v>
      </c>
      <c r="B34">
        <f t="shared" si="1"/>
        <v>5.3407075111026485E-2</v>
      </c>
    </row>
    <row r="35" spans="1:2" x14ac:dyDescent="0.3">
      <c r="A35">
        <f t="shared" si="0"/>
        <v>5.5458473092150073E-5</v>
      </c>
      <c r="B35">
        <f t="shared" si="1"/>
        <v>5.4977871437821388E-2</v>
      </c>
    </row>
    <row r="36" spans="1:2" x14ac:dyDescent="0.3">
      <c r="A36">
        <f t="shared" si="0"/>
        <v>6.0353401121648886E-5</v>
      </c>
      <c r="B36">
        <f t="shared" si="1"/>
        <v>5.6548667764616284E-2</v>
      </c>
    </row>
    <row r="37" spans="1:2" x14ac:dyDescent="0.3">
      <c r="A37">
        <f t="shared" si="0"/>
        <v>6.5528579150209154E-5</v>
      </c>
      <c r="B37">
        <f t="shared" si="1"/>
        <v>5.8119464091411173E-2</v>
      </c>
    </row>
    <row r="38" spans="1:2" x14ac:dyDescent="0.3">
      <c r="A38">
        <f t="shared" si="0"/>
        <v>7.0991861166505577E-5</v>
      </c>
      <c r="B38">
        <f t="shared" si="1"/>
        <v>5.9690260418206069E-2</v>
      </c>
    </row>
    <row r="39" spans="1:2" x14ac:dyDescent="0.3">
      <c r="A39">
        <f t="shared" si="0"/>
        <v>7.6751106875085073E-5</v>
      </c>
      <c r="B39">
        <f t="shared" si="1"/>
        <v>6.1261056745000965E-2</v>
      </c>
    </row>
    <row r="40" spans="1:2" x14ac:dyDescent="0.3">
      <c r="A40">
        <f t="shared" si="0"/>
        <v>8.2814181853893554E-5</v>
      </c>
      <c r="B40">
        <f t="shared" si="1"/>
        <v>6.2831853071795868E-2</v>
      </c>
    </row>
    <row r="41" spans="1:2" x14ac:dyDescent="0.3">
      <c r="A41">
        <f t="shared" si="0"/>
        <v>8.9188957712121875E-5</v>
      </c>
      <c r="B41">
        <f t="shared" si="1"/>
        <v>6.4402649398590764E-2</v>
      </c>
    </row>
    <row r="42" spans="1:2" x14ac:dyDescent="0.3">
      <c r="A42">
        <f t="shared" si="0"/>
        <v>9.5883312248232211E-5</v>
      </c>
      <c r="B42">
        <f t="shared" si="1"/>
        <v>6.597344572538566E-2</v>
      </c>
    </row>
    <row r="43" spans="1:2" x14ac:dyDescent="0.3">
      <c r="A43">
        <f t="shared" si="0"/>
        <v>1.0290512960833831E-4</v>
      </c>
      <c r="B43">
        <f t="shared" si="1"/>
        <v>6.7544242052180556E-2</v>
      </c>
    </row>
    <row r="44" spans="1:2" x14ac:dyDescent="0.3">
      <c r="A44">
        <f t="shared" si="0"/>
        <v>1.1026230044473839E-4</v>
      </c>
      <c r="B44">
        <f t="shared" si="1"/>
        <v>6.9115038378975438E-2</v>
      </c>
    </row>
    <row r="45" spans="1:2" x14ac:dyDescent="0.3">
      <c r="A45">
        <f t="shared" si="0"/>
        <v>1.1796272207482972E-4</v>
      </c>
      <c r="B45">
        <f t="shared" si="1"/>
        <v>7.0685834705770348E-2</v>
      </c>
    </row>
    <row r="46" spans="1:2" x14ac:dyDescent="0.3">
      <c r="A46">
        <f t="shared" si="0"/>
        <v>1.2601429864027291E-4</v>
      </c>
      <c r="B46">
        <f t="shared" si="1"/>
        <v>7.2256631032565244E-2</v>
      </c>
    </row>
    <row r="47" spans="1:2" x14ac:dyDescent="0.3">
      <c r="A47">
        <f t="shared" si="0"/>
        <v>1.3442494126636451E-4</v>
      </c>
      <c r="B47">
        <f t="shared" si="1"/>
        <v>7.382742735936014E-2</v>
      </c>
    </row>
    <row r="48" spans="1:2" x14ac:dyDescent="0.3">
      <c r="A48">
        <f t="shared" si="0"/>
        <v>1.4320256822183963E-4</v>
      </c>
      <c r="B48">
        <f t="shared" si="1"/>
        <v>7.5398223686155036E-2</v>
      </c>
    </row>
    <row r="49" spans="1:2" x14ac:dyDescent="0.3">
      <c r="A49">
        <f t="shared" si="0"/>
        <v>1.5235510507892458E-4</v>
      </c>
      <c r="B49">
        <f t="shared" si="1"/>
        <v>7.6969020012949932E-2</v>
      </c>
    </row>
    <row r="50" spans="1:2" x14ac:dyDescent="0.3">
      <c r="A50">
        <f t="shared" si="0"/>
        <v>1.6189048487361135E-4</v>
      </c>
      <c r="B50">
        <f t="shared" si="1"/>
        <v>7.8539816339744828E-2</v>
      </c>
    </row>
    <row r="51" spans="1:2" x14ac:dyDescent="0.3">
      <c r="A51">
        <f t="shared" si="0"/>
        <v>1.7181664826640408E-4</v>
      </c>
      <c r="B51">
        <f t="shared" si="1"/>
        <v>8.0110612666539724E-2</v>
      </c>
    </row>
    <row r="52" spans="1:2" x14ac:dyDescent="0.3">
      <c r="A52">
        <f t="shared" si="0"/>
        <v>1.8214154370324587E-4</v>
      </c>
      <c r="B52">
        <f t="shared" si="1"/>
        <v>8.1681408993334634E-2</v>
      </c>
    </row>
    <row r="53" spans="1:2" x14ac:dyDescent="0.3">
      <c r="A53">
        <f t="shared" si="0"/>
        <v>1.9287312757688968E-4</v>
      </c>
      <c r="B53">
        <f t="shared" si="1"/>
        <v>8.3252205320129516E-2</v>
      </c>
    </row>
    <row r="54" spans="1:2" x14ac:dyDescent="0.3">
      <c r="A54">
        <f t="shared" si="0"/>
        <v>2.0401936438854684E-4</v>
      </c>
      <c r="B54">
        <f t="shared" si="1"/>
        <v>8.4823001646924412E-2</v>
      </c>
    </row>
    <row r="55" spans="1:2" x14ac:dyDescent="0.3">
      <c r="A55">
        <f t="shared" si="0"/>
        <v>2.1558822690985469E-4</v>
      </c>
      <c r="B55">
        <f t="shared" si="1"/>
        <v>8.6393797973719308E-2</v>
      </c>
    </row>
    <row r="56" spans="1:2" x14ac:dyDescent="0.3">
      <c r="A56">
        <f t="shared" si="0"/>
        <v>2.275876963452883E-4</v>
      </c>
      <c r="B56">
        <f t="shared" si="1"/>
        <v>8.7964594300514204E-2</v>
      </c>
    </row>
    <row r="57" spans="1:2" x14ac:dyDescent="0.3">
      <c r="A57">
        <f t="shared" si="0"/>
        <v>2.4002576249483598E-4</v>
      </c>
      <c r="B57">
        <f t="shared" si="1"/>
        <v>8.9535390627309114E-2</v>
      </c>
    </row>
    <row r="58" spans="1:2" x14ac:dyDescent="0.3">
      <c r="A58">
        <f t="shared" si="0"/>
        <v>2.5291042391710483E-4</v>
      </c>
      <c r="B58">
        <f t="shared" si="1"/>
        <v>9.110618695410401E-2</v>
      </c>
    </row>
    <row r="59" spans="1:2" x14ac:dyDescent="0.3">
      <c r="A59">
        <f t="shared" si="0"/>
        <v>2.6624968809271787E-4</v>
      </c>
      <c r="B59">
        <f t="shared" si="1"/>
        <v>9.2676983280898906E-2</v>
      </c>
    </row>
    <row r="60" spans="1:2" x14ac:dyDescent="0.3">
      <c r="A60">
        <f t="shared" si="0"/>
        <v>2.8005157158825233E-4</v>
      </c>
      <c r="B60">
        <f t="shared" si="1"/>
        <v>9.4247779607693788E-2</v>
      </c>
    </row>
    <row r="61" spans="1:2" x14ac:dyDescent="0.3">
      <c r="A61">
        <f t="shared" si="0"/>
        <v>2.9432410022035838E-4</v>
      </c>
      <c r="B61">
        <f t="shared" si="1"/>
        <v>9.5818575934488684E-2</v>
      </c>
    </row>
    <row r="62" spans="1:2" x14ac:dyDescent="0.3">
      <c r="A62">
        <f t="shared" si="0"/>
        <v>3.0907530922043291E-4</v>
      </c>
      <c r="B62">
        <f t="shared" si="1"/>
        <v>9.738937226128358E-2</v>
      </c>
    </row>
    <row r="63" spans="1:2" x14ac:dyDescent="0.3">
      <c r="A63">
        <f t="shared" si="0"/>
        <v>3.2431324339962653E-4</v>
      </c>
      <c r="B63">
        <f t="shared" si="1"/>
        <v>9.896016858807849E-2</v>
      </c>
    </row>
    <row r="64" spans="1:2" x14ac:dyDescent="0.3">
      <c r="A64">
        <f t="shared" si="0"/>
        <v>3.4004595731426668E-4</v>
      </c>
      <c r="B64">
        <f t="shared" si="1"/>
        <v>0.10053096491487339</v>
      </c>
    </row>
    <row r="65" spans="1:2" x14ac:dyDescent="0.3">
      <c r="A65">
        <f t="shared" si="0"/>
        <v>3.5628151543169728E-4</v>
      </c>
      <c r="B65">
        <f t="shared" si="1"/>
        <v>0.10210176124166828</v>
      </c>
    </row>
    <row r="66" spans="1:2" x14ac:dyDescent="0.3">
      <c r="A66">
        <f t="shared" ref="A66:A129" si="2">TAN(B66)-B66</f>
        <v>3.7302799229657624E-4</v>
      </c>
      <c r="B66">
        <f t="shared" ref="B66:B129" si="3">ROW()*0.001*PI()/2</f>
        <v>0.10367255756846318</v>
      </c>
    </row>
    <row r="67" spans="1:2" x14ac:dyDescent="0.3">
      <c r="A67">
        <f t="shared" si="2"/>
        <v>3.9029347269753378E-4</v>
      </c>
      <c r="B67">
        <f t="shared" si="3"/>
        <v>0.10524335389525807</v>
      </c>
    </row>
    <row r="68" spans="1:2" x14ac:dyDescent="0.3">
      <c r="A68">
        <f t="shared" si="2"/>
        <v>4.0808605183433044E-4</v>
      </c>
      <c r="B68">
        <f t="shared" si="3"/>
        <v>0.10681415022205297</v>
      </c>
    </row>
    <row r="69" spans="1:2" x14ac:dyDescent="0.3">
      <c r="A69">
        <f t="shared" si="2"/>
        <v>4.2641383548547296E-4</v>
      </c>
      <c r="B69">
        <f t="shared" si="3"/>
        <v>0.10838494654884787</v>
      </c>
    </row>
    <row r="70" spans="1:2" x14ac:dyDescent="0.3">
      <c r="A70">
        <f t="shared" si="2"/>
        <v>4.4528494017617715E-4</v>
      </c>
      <c r="B70">
        <f t="shared" si="3"/>
        <v>0.10995574287564278</v>
      </c>
    </row>
    <row r="71" spans="1:2" x14ac:dyDescent="0.3">
      <c r="A71">
        <f t="shared" si="2"/>
        <v>4.6470749334696915E-4</v>
      </c>
      <c r="B71">
        <f t="shared" si="3"/>
        <v>0.11152653920243767</v>
      </c>
    </row>
    <row r="72" spans="1:2" x14ac:dyDescent="0.3">
      <c r="A72">
        <f t="shared" si="2"/>
        <v>4.8468963352256422E-4</v>
      </c>
      <c r="B72">
        <f t="shared" si="3"/>
        <v>0.11309733552923257</v>
      </c>
    </row>
    <row r="73" spans="1:2" x14ac:dyDescent="0.3">
      <c r="A73">
        <f t="shared" si="2"/>
        <v>5.0523951048135618E-4</v>
      </c>
      <c r="B73">
        <f t="shared" si="3"/>
        <v>0.11466813185602744</v>
      </c>
    </row>
    <row r="74" spans="1:2" x14ac:dyDescent="0.3">
      <c r="A74">
        <f t="shared" si="2"/>
        <v>5.2636528542536476E-4</v>
      </c>
      <c r="B74">
        <f t="shared" si="3"/>
        <v>0.11623892818282235</v>
      </c>
    </row>
    <row r="75" spans="1:2" x14ac:dyDescent="0.3">
      <c r="A75">
        <f t="shared" si="2"/>
        <v>5.4807513115058548E-4</v>
      </c>
      <c r="B75">
        <f t="shared" si="3"/>
        <v>0.11780972450961724</v>
      </c>
    </row>
    <row r="76" spans="1:2" x14ac:dyDescent="0.3">
      <c r="A76">
        <f t="shared" si="2"/>
        <v>5.7037723221800563E-4</v>
      </c>
      <c r="B76">
        <f t="shared" si="3"/>
        <v>0.11938052083641214</v>
      </c>
    </row>
    <row r="77" spans="1:2" x14ac:dyDescent="0.3">
      <c r="A77">
        <f t="shared" si="2"/>
        <v>5.9327978512496715E-4</v>
      </c>
      <c r="B77">
        <f t="shared" si="3"/>
        <v>0.12095131716320703</v>
      </c>
    </row>
    <row r="78" spans="1:2" x14ac:dyDescent="0.3">
      <c r="A78">
        <f t="shared" si="2"/>
        <v>6.1679099847709862E-4</v>
      </c>
      <c r="B78">
        <f t="shared" si="3"/>
        <v>0.12252211349000193</v>
      </c>
    </row>
    <row r="79" spans="1:2" x14ac:dyDescent="0.3">
      <c r="A79">
        <f t="shared" si="2"/>
        <v>6.4091909316085771E-4</v>
      </c>
      <c r="B79">
        <f t="shared" si="3"/>
        <v>0.12409290981679683</v>
      </c>
    </row>
    <row r="80" spans="1:2" x14ac:dyDescent="0.3">
      <c r="A80">
        <f t="shared" si="2"/>
        <v>6.6567230251643461E-4</v>
      </c>
      <c r="B80">
        <f t="shared" si="3"/>
        <v>0.12566370614359174</v>
      </c>
    </row>
    <row r="81" spans="1:2" x14ac:dyDescent="0.3">
      <c r="A81">
        <f t="shared" si="2"/>
        <v>6.9105887251136311E-4</v>
      </c>
      <c r="B81">
        <f t="shared" si="3"/>
        <v>0.12723450247038662</v>
      </c>
    </row>
    <row r="82" spans="1:2" x14ac:dyDescent="0.3">
      <c r="A82">
        <f t="shared" si="2"/>
        <v>7.1708706191456195E-4</v>
      </c>
      <c r="B82">
        <f t="shared" si="3"/>
        <v>0.12880529879718153</v>
      </c>
    </row>
    <row r="83" spans="1:2" x14ac:dyDescent="0.3">
      <c r="A83">
        <f t="shared" si="2"/>
        <v>7.4376514247093128E-4</v>
      </c>
      <c r="B83">
        <f t="shared" si="3"/>
        <v>0.13037609512397641</v>
      </c>
    </row>
    <row r="84" spans="1:2" x14ac:dyDescent="0.3">
      <c r="A84">
        <f t="shared" si="2"/>
        <v>7.7110139907665687E-4</v>
      </c>
      <c r="B84">
        <f t="shared" si="3"/>
        <v>0.13194689145077132</v>
      </c>
    </row>
    <row r="85" spans="1:2" x14ac:dyDescent="0.3">
      <c r="A85">
        <f t="shared" si="2"/>
        <v>7.9910412995487512E-4</v>
      </c>
      <c r="B85">
        <f t="shared" si="3"/>
        <v>0.13351768777756623</v>
      </c>
    </row>
    <row r="86" spans="1:2" x14ac:dyDescent="0.3">
      <c r="A86">
        <f t="shared" si="2"/>
        <v>8.2778164683208755E-4</v>
      </c>
      <c r="B86">
        <f t="shared" si="3"/>
        <v>0.13508848410436111</v>
      </c>
    </row>
    <row r="87" spans="1:2" x14ac:dyDescent="0.3">
      <c r="A87">
        <f t="shared" si="2"/>
        <v>8.5714227511501928E-4</v>
      </c>
      <c r="B87">
        <f t="shared" si="3"/>
        <v>0.13665928043115602</v>
      </c>
    </row>
    <row r="88" spans="1:2" x14ac:dyDescent="0.3">
      <c r="A88">
        <f t="shared" si="2"/>
        <v>8.8719435406828251E-4</v>
      </c>
      <c r="B88">
        <f t="shared" si="3"/>
        <v>0.13823007675795088</v>
      </c>
    </row>
    <row r="89" spans="1:2" x14ac:dyDescent="0.3">
      <c r="A89">
        <f t="shared" si="2"/>
        <v>9.1794623699228972E-4</v>
      </c>
      <c r="B89">
        <f t="shared" si="3"/>
        <v>0.13980087308474579</v>
      </c>
    </row>
    <row r="90" spans="1:2" x14ac:dyDescent="0.3">
      <c r="A90">
        <f t="shared" si="2"/>
        <v>9.4940629140224941E-4</v>
      </c>
      <c r="B90">
        <f t="shared" si="3"/>
        <v>0.1413716694115407</v>
      </c>
    </row>
    <row r="91" spans="1:2" x14ac:dyDescent="0.3">
      <c r="A91">
        <f t="shared" si="2"/>
        <v>9.8158289920730057E-4</v>
      </c>
      <c r="B91">
        <f t="shared" si="3"/>
        <v>0.14294246573833558</v>
      </c>
    </row>
    <row r="92" spans="1:2" x14ac:dyDescent="0.3">
      <c r="A92">
        <f t="shared" si="2"/>
        <v>1.0144844568907019E-3</v>
      </c>
      <c r="B92">
        <f t="shared" si="3"/>
        <v>0.14451326206513049</v>
      </c>
    </row>
    <row r="93" spans="1:2" x14ac:dyDescent="0.3">
      <c r="A93">
        <f t="shared" si="2"/>
        <v>1.0481193756902429E-3</v>
      </c>
      <c r="B93">
        <f t="shared" si="3"/>
        <v>0.14608405839192537</v>
      </c>
    </row>
    <row r="94" spans="1:2" x14ac:dyDescent="0.3">
      <c r="A94">
        <f t="shared" si="2"/>
        <v>1.082496081779738E-3</v>
      </c>
      <c r="B94">
        <f t="shared" si="3"/>
        <v>0.14765485471872028</v>
      </c>
    </row>
    <row r="95" spans="1:2" x14ac:dyDescent="0.3">
      <c r="A95">
        <f t="shared" si="2"/>
        <v>1.1176230164507694E-3</v>
      </c>
      <c r="B95">
        <f t="shared" si="3"/>
        <v>0.14922565104551516</v>
      </c>
    </row>
    <row r="96" spans="1:2" x14ac:dyDescent="0.3">
      <c r="A96">
        <f t="shared" si="2"/>
        <v>1.153508636295375E-3</v>
      </c>
      <c r="B96">
        <f t="shared" si="3"/>
        <v>0.15079644737231007</v>
      </c>
    </row>
    <row r="97" spans="1:2" x14ac:dyDescent="0.3">
      <c r="A97">
        <f t="shared" si="2"/>
        <v>1.1901614133892624E-3</v>
      </c>
      <c r="B97">
        <f t="shared" si="3"/>
        <v>0.15236724369910498</v>
      </c>
    </row>
    <row r="98" spans="1:2" x14ac:dyDescent="0.3">
      <c r="A98">
        <f t="shared" si="2"/>
        <v>1.2275898354758008E-3</v>
      </c>
      <c r="B98">
        <f t="shared" si="3"/>
        <v>0.15393804002589986</v>
      </c>
    </row>
    <row r="99" spans="1:2" x14ac:dyDescent="0.3">
      <c r="A99">
        <f t="shared" si="2"/>
        <v>1.2658024061505402E-3</v>
      </c>
      <c r="B99">
        <f t="shared" si="3"/>
        <v>0.15550883635269477</v>
      </c>
    </row>
    <row r="100" spans="1:2" x14ac:dyDescent="0.3">
      <c r="A100">
        <f t="shared" si="2"/>
        <v>1.3048076450466184E-3</v>
      </c>
      <c r="B100">
        <f t="shared" si="3"/>
        <v>0.15707963267948966</v>
      </c>
    </row>
    <row r="101" spans="1:2" x14ac:dyDescent="0.3">
      <c r="A101">
        <f t="shared" si="2"/>
        <v>1.3446140880207791E-3</v>
      </c>
      <c r="B101">
        <f t="shared" si="3"/>
        <v>0.15865042900628457</v>
      </c>
    </row>
    <row r="102" spans="1:2" x14ac:dyDescent="0.3">
      <c r="A102">
        <f t="shared" si="2"/>
        <v>1.3852302873400557E-3</v>
      </c>
      <c r="B102">
        <f t="shared" si="3"/>
        <v>0.16022122533307945</v>
      </c>
    </row>
    <row r="103" spans="1:2" x14ac:dyDescent="0.3">
      <c r="A103">
        <f t="shared" si="2"/>
        <v>1.4266648118692882E-3</v>
      </c>
      <c r="B103">
        <f t="shared" si="3"/>
        <v>0.16179202165987436</v>
      </c>
    </row>
    <row r="104" spans="1:2" x14ac:dyDescent="0.3">
      <c r="A104">
        <f t="shared" si="2"/>
        <v>1.4689262472593057E-3</v>
      </c>
      <c r="B104">
        <f t="shared" si="3"/>
        <v>0.16336281798666927</v>
      </c>
    </row>
    <row r="105" spans="1:2" x14ac:dyDescent="0.3">
      <c r="A105">
        <f t="shared" si="2"/>
        <v>1.512023196135831E-3</v>
      </c>
      <c r="B105">
        <f t="shared" si="3"/>
        <v>0.16493361431346412</v>
      </c>
    </row>
    <row r="106" spans="1:2" x14ac:dyDescent="0.3">
      <c r="A106">
        <f t="shared" si="2"/>
        <v>1.5559642782892458E-3</v>
      </c>
      <c r="B106">
        <f t="shared" si="3"/>
        <v>0.16650441064025903</v>
      </c>
    </row>
    <row r="107" spans="1:2" x14ac:dyDescent="0.3">
      <c r="A107">
        <f t="shared" si="2"/>
        <v>1.6007581308649377E-3</v>
      </c>
      <c r="B107">
        <f t="shared" si="3"/>
        <v>0.16807520696705394</v>
      </c>
    </row>
    <row r="108" spans="1:2" x14ac:dyDescent="0.3">
      <c r="A108">
        <f t="shared" si="2"/>
        <v>1.6464134085545645E-3</v>
      </c>
      <c r="B108">
        <f t="shared" si="3"/>
        <v>0.16964600329384882</v>
      </c>
    </row>
    <row r="109" spans="1:2" x14ac:dyDescent="0.3">
      <c r="A109">
        <f t="shared" si="2"/>
        <v>1.6929387837880949E-3</v>
      </c>
      <c r="B109">
        <f t="shared" si="3"/>
        <v>0.17121679962064373</v>
      </c>
    </row>
    <row r="110" spans="1:2" x14ac:dyDescent="0.3">
      <c r="A110">
        <f t="shared" si="2"/>
        <v>1.7403429469264597E-3</v>
      </c>
      <c r="B110">
        <f t="shared" si="3"/>
        <v>0.17278759594743862</v>
      </c>
    </row>
    <row r="111" spans="1:2" x14ac:dyDescent="0.3">
      <c r="A111">
        <f t="shared" si="2"/>
        <v>1.7886346064552583E-3</v>
      </c>
      <c r="B111">
        <f t="shared" si="3"/>
        <v>0.17435839227423353</v>
      </c>
    </row>
    <row r="112" spans="1:2" x14ac:dyDescent="0.3">
      <c r="A112">
        <f t="shared" si="2"/>
        <v>1.8378224891791028E-3</v>
      </c>
      <c r="B112">
        <f t="shared" si="3"/>
        <v>0.17592918860102841</v>
      </c>
    </row>
    <row r="113" spans="1:2" x14ac:dyDescent="0.3">
      <c r="A113">
        <f t="shared" si="2"/>
        <v>1.8879153404167681E-3</v>
      </c>
      <c r="B113">
        <f t="shared" si="3"/>
        <v>0.17749998492782332</v>
      </c>
    </row>
    <row r="114" spans="1:2" x14ac:dyDescent="0.3">
      <c r="A114">
        <f t="shared" si="2"/>
        <v>1.9389219241972566E-3</v>
      </c>
      <c r="B114">
        <f t="shared" si="3"/>
        <v>0.17907078125461823</v>
      </c>
    </row>
    <row r="115" spans="1:2" x14ac:dyDescent="0.3">
      <c r="A115">
        <f t="shared" si="2"/>
        <v>1.990851023456669E-3</v>
      </c>
      <c r="B115">
        <f t="shared" si="3"/>
        <v>0.18064157758141311</v>
      </c>
    </row>
    <row r="116" spans="1:2" x14ac:dyDescent="0.3">
      <c r="A116">
        <f t="shared" si="2"/>
        <v>2.0437114402358791E-3</v>
      </c>
      <c r="B116">
        <f t="shared" si="3"/>
        <v>0.18221237390820802</v>
      </c>
    </row>
    <row r="117" spans="1:2" x14ac:dyDescent="0.3">
      <c r="A117">
        <f t="shared" si="2"/>
        <v>2.0975119958790978E-3</v>
      </c>
      <c r="B117">
        <f t="shared" si="3"/>
        <v>0.1837831702350029</v>
      </c>
    </row>
    <row r="118" spans="1:2" x14ac:dyDescent="0.3">
      <c r="A118">
        <f t="shared" si="2"/>
        <v>2.1522615312333238E-3</v>
      </c>
      <c r="B118">
        <f t="shared" si="3"/>
        <v>0.18535396656179781</v>
      </c>
    </row>
    <row r="119" spans="1:2" x14ac:dyDescent="0.3">
      <c r="A119">
        <f t="shared" si="2"/>
        <v>2.2079689068485731E-3</v>
      </c>
      <c r="B119">
        <f t="shared" si="3"/>
        <v>0.18692476288859269</v>
      </c>
    </row>
    <row r="120" spans="1:2" x14ac:dyDescent="0.3">
      <c r="A120">
        <f t="shared" si="2"/>
        <v>2.264643003179162E-3</v>
      </c>
      <c r="B120">
        <f t="shared" si="3"/>
        <v>0.18849555921538758</v>
      </c>
    </row>
    <row r="121" spans="1:2" x14ac:dyDescent="0.3">
      <c r="A121">
        <f t="shared" si="2"/>
        <v>2.3222927207856292E-3</v>
      </c>
      <c r="B121">
        <f t="shared" si="3"/>
        <v>0.19006635554218249</v>
      </c>
    </row>
    <row r="122" spans="1:2" x14ac:dyDescent="0.3">
      <c r="A122">
        <f t="shared" si="2"/>
        <v>2.3809269805379063E-3</v>
      </c>
      <c r="B122">
        <f t="shared" si="3"/>
        <v>0.19163715186897737</v>
      </c>
    </row>
    <row r="123" spans="1:2" x14ac:dyDescent="0.3">
      <c r="A123">
        <f t="shared" si="2"/>
        <v>2.4405547238190439E-3</v>
      </c>
      <c r="B123">
        <f t="shared" si="3"/>
        <v>0.19320794819577228</v>
      </c>
    </row>
    <row r="124" spans="1:2" x14ac:dyDescent="0.3">
      <c r="A124">
        <f t="shared" si="2"/>
        <v>2.5011849127301311E-3</v>
      </c>
      <c r="B124">
        <f t="shared" si="3"/>
        <v>0.19477874452256716</v>
      </c>
    </row>
    <row r="125" spans="1:2" x14ac:dyDescent="0.3">
      <c r="A125">
        <f t="shared" si="2"/>
        <v>2.5628265302959363E-3</v>
      </c>
      <c r="B125">
        <f t="shared" si="3"/>
        <v>0.19634954084936207</v>
      </c>
    </row>
    <row r="126" spans="1:2" x14ac:dyDescent="0.3">
      <c r="A126">
        <f t="shared" si="2"/>
        <v>2.6254885806717698E-3</v>
      </c>
      <c r="B126">
        <f t="shared" si="3"/>
        <v>0.19792033717615698</v>
      </c>
    </row>
    <row r="127" spans="1:2" x14ac:dyDescent="0.3">
      <c r="A127">
        <f t="shared" si="2"/>
        <v>2.6891800893509843E-3</v>
      </c>
      <c r="B127">
        <f t="shared" si="3"/>
        <v>0.19949113350295186</v>
      </c>
    </row>
    <row r="128" spans="1:2" x14ac:dyDescent="0.3">
      <c r="A128">
        <f t="shared" si="2"/>
        <v>2.7539101033736968E-3</v>
      </c>
      <c r="B128">
        <f t="shared" si="3"/>
        <v>0.20106192982974677</v>
      </c>
    </row>
    <row r="129" spans="1:2" x14ac:dyDescent="0.3">
      <c r="A129">
        <f t="shared" si="2"/>
        <v>2.8196876915362878E-3</v>
      </c>
      <c r="B129">
        <f t="shared" si="3"/>
        <v>0.20263272615654165</v>
      </c>
    </row>
    <row r="130" spans="1:2" x14ac:dyDescent="0.3">
      <c r="A130">
        <f t="shared" ref="A130:A193" si="4">TAN(B130)-B130</f>
        <v>2.8865219446021495E-3</v>
      </c>
      <c r="B130">
        <f t="shared" ref="B130:B193" si="5">ROW()*0.001*PI()/2</f>
        <v>0.20420352248333656</v>
      </c>
    </row>
    <row r="131" spans="1:2" x14ac:dyDescent="0.3">
      <c r="A131">
        <f t="shared" si="4"/>
        <v>2.9544219755130163E-3</v>
      </c>
      <c r="B131">
        <f t="shared" si="5"/>
        <v>0.20577431881013145</v>
      </c>
    </row>
    <row r="132" spans="1:2" x14ac:dyDescent="0.3">
      <c r="A132">
        <f t="shared" si="4"/>
        <v>3.0233969196018229E-3</v>
      </c>
      <c r="B132">
        <f t="shared" si="5"/>
        <v>0.20734511513692636</v>
      </c>
    </row>
    <row r="133" spans="1:2" x14ac:dyDescent="0.3">
      <c r="A133">
        <f t="shared" si="4"/>
        <v>3.0934559348061441E-3</v>
      </c>
      <c r="B133">
        <f t="shared" si="5"/>
        <v>0.20891591146372127</v>
      </c>
    </row>
    <row r="134" spans="1:2" x14ac:dyDescent="0.3">
      <c r="A134">
        <f t="shared" si="4"/>
        <v>3.164608201882857E-3</v>
      </c>
      <c r="B134">
        <f t="shared" si="5"/>
        <v>0.21048670779051615</v>
      </c>
    </row>
    <row r="135" spans="1:2" x14ac:dyDescent="0.3">
      <c r="A135">
        <f t="shared" si="4"/>
        <v>3.2368629246239677E-3</v>
      </c>
      <c r="B135">
        <f t="shared" si="5"/>
        <v>0.21205750411731106</v>
      </c>
    </row>
    <row r="136" spans="1:2" x14ac:dyDescent="0.3">
      <c r="A136">
        <f t="shared" si="4"/>
        <v>3.3102293300731334E-3</v>
      </c>
      <c r="B136">
        <f t="shared" si="5"/>
        <v>0.21362830044410594</v>
      </c>
    </row>
    <row r="137" spans="1:2" x14ac:dyDescent="0.3">
      <c r="A137">
        <f t="shared" si="4"/>
        <v>3.3847166687436259E-3</v>
      </c>
      <c r="B137">
        <f t="shared" si="5"/>
        <v>0.21519909677090085</v>
      </c>
    </row>
    <row r="138" spans="1:2" x14ac:dyDescent="0.3">
      <c r="A138">
        <f t="shared" si="4"/>
        <v>3.4603342148371852E-3</v>
      </c>
      <c r="B138">
        <f t="shared" si="5"/>
        <v>0.21676989309769573</v>
      </c>
    </row>
    <row r="139" spans="1:2" x14ac:dyDescent="0.3">
      <c r="A139">
        <f t="shared" si="4"/>
        <v>3.537091266463982E-3</v>
      </c>
      <c r="B139">
        <f t="shared" si="5"/>
        <v>0.21834068942449064</v>
      </c>
    </row>
    <row r="140" spans="1:2" x14ac:dyDescent="0.3">
      <c r="A140">
        <f t="shared" si="4"/>
        <v>3.6149971458635799E-3</v>
      </c>
      <c r="B140">
        <f t="shared" si="5"/>
        <v>0.21991148575128555</v>
      </c>
    </row>
    <row r="141" spans="1:2" x14ac:dyDescent="0.3">
      <c r="A141">
        <f t="shared" si="4"/>
        <v>3.6940611996273132E-3</v>
      </c>
      <c r="B141">
        <f t="shared" si="5"/>
        <v>0.22148228207808043</v>
      </c>
    </row>
    <row r="142" spans="1:2" x14ac:dyDescent="0.3">
      <c r="A142">
        <f t="shared" si="4"/>
        <v>3.7742927989214137E-3</v>
      </c>
      <c r="B142">
        <f t="shared" si="5"/>
        <v>0.22305307840487534</v>
      </c>
    </row>
    <row r="143" spans="1:2" x14ac:dyDescent="0.3">
      <c r="A143">
        <f t="shared" si="4"/>
        <v>3.8557013397116091E-3</v>
      </c>
      <c r="B143">
        <f t="shared" si="5"/>
        <v>0.22462387473167023</v>
      </c>
    </row>
    <row r="144" spans="1:2" x14ac:dyDescent="0.3">
      <c r="A144">
        <f t="shared" si="4"/>
        <v>3.9382962429884705E-3</v>
      </c>
      <c r="B144">
        <f t="shared" si="5"/>
        <v>0.22619467105846514</v>
      </c>
    </row>
    <row r="145" spans="1:2" x14ac:dyDescent="0.3">
      <c r="A145">
        <f t="shared" si="4"/>
        <v>4.0220869549944527E-3</v>
      </c>
      <c r="B145">
        <f t="shared" si="5"/>
        <v>0.22776546738525999</v>
      </c>
    </row>
    <row r="146" spans="1:2" x14ac:dyDescent="0.3">
      <c r="A146">
        <f t="shared" si="4"/>
        <v>4.1070829474515458E-3</v>
      </c>
      <c r="B146">
        <f t="shared" si="5"/>
        <v>0.22933626371205487</v>
      </c>
    </row>
    <row r="147" spans="1:2" x14ac:dyDescent="0.3">
      <c r="A147">
        <f t="shared" si="4"/>
        <v>4.1932937177904805E-3</v>
      </c>
      <c r="B147">
        <f t="shared" si="5"/>
        <v>0.23090706003884978</v>
      </c>
    </row>
    <row r="148" spans="1:2" x14ac:dyDescent="0.3">
      <c r="A148">
        <f t="shared" si="4"/>
        <v>4.2807287893810719E-3</v>
      </c>
      <c r="B148">
        <f t="shared" si="5"/>
        <v>0.23247785636564469</v>
      </c>
    </row>
    <row r="149" spans="1:2" x14ac:dyDescent="0.3">
      <c r="A149">
        <f t="shared" si="4"/>
        <v>4.3693977117635896E-3</v>
      </c>
      <c r="B149">
        <f t="shared" si="5"/>
        <v>0.23404865269243957</v>
      </c>
    </row>
    <row r="150" spans="1:2" x14ac:dyDescent="0.3">
      <c r="A150">
        <f t="shared" si="4"/>
        <v>4.4593100608815439E-3</v>
      </c>
      <c r="B150">
        <f t="shared" si="5"/>
        <v>0.23561944901923448</v>
      </c>
    </row>
    <row r="151" spans="1:2" x14ac:dyDescent="0.3">
      <c r="A151">
        <f t="shared" si="4"/>
        <v>4.5504754393156654E-3</v>
      </c>
      <c r="B151">
        <f t="shared" si="5"/>
        <v>0.23719024534602937</v>
      </c>
    </row>
    <row r="152" spans="1:2" x14ac:dyDescent="0.3">
      <c r="A152">
        <f t="shared" si="4"/>
        <v>4.6429034765190225E-3</v>
      </c>
      <c r="B152">
        <f t="shared" si="5"/>
        <v>0.23876104167282428</v>
      </c>
    </row>
    <row r="153" spans="1:2" x14ac:dyDescent="0.3">
      <c r="A153">
        <f t="shared" si="4"/>
        <v>4.7366038290534984E-3</v>
      </c>
      <c r="B153">
        <f t="shared" si="5"/>
        <v>0.24033183799961916</v>
      </c>
    </row>
    <row r="154" spans="1:2" x14ac:dyDescent="0.3">
      <c r="A154">
        <f t="shared" si="4"/>
        <v>4.831586180827574E-3</v>
      </c>
      <c r="B154">
        <f t="shared" si="5"/>
        <v>0.24190263432641407</v>
      </c>
    </row>
    <row r="155" spans="1:2" x14ac:dyDescent="0.3">
      <c r="A155">
        <f t="shared" si="4"/>
        <v>4.9278602433352192E-3</v>
      </c>
      <c r="B155">
        <f t="shared" si="5"/>
        <v>0.24347343065320898</v>
      </c>
    </row>
    <row r="156" spans="1:2" x14ac:dyDescent="0.3">
      <c r="A156">
        <f t="shared" si="4"/>
        <v>5.0254357558962293E-3</v>
      </c>
      <c r="B156">
        <f t="shared" si="5"/>
        <v>0.24504422698000386</v>
      </c>
    </row>
    <row r="157" spans="1:2" x14ac:dyDescent="0.3">
      <c r="A157">
        <f t="shared" si="4"/>
        <v>5.1243224858979752E-3</v>
      </c>
      <c r="B157">
        <f t="shared" si="5"/>
        <v>0.24661502330679877</v>
      </c>
    </row>
    <row r="158" spans="1:2" x14ac:dyDescent="0.3">
      <c r="A158">
        <f t="shared" si="4"/>
        <v>5.2245302290381268E-3</v>
      </c>
      <c r="B158">
        <f t="shared" si="5"/>
        <v>0.24818581963359365</v>
      </c>
    </row>
    <row r="159" spans="1:2" x14ac:dyDescent="0.3">
      <c r="A159">
        <f t="shared" si="4"/>
        <v>5.3260688095690401E-3</v>
      </c>
      <c r="B159">
        <f t="shared" si="5"/>
        <v>0.24975661596038856</v>
      </c>
    </row>
    <row r="160" spans="1:2" x14ac:dyDescent="0.3">
      <c r="A160">
        <f t="shared" si="4"/>
        <v>5.4289480805433388E-3</v>
      </c>
      <c r="B160">
        <f t="shared" si="5"/>
        <v>0.25132741228718347</v>
      </c>
    </row>
    <row r="161" spans="1:2" x14ac:dyDescent="0.3">
      <c r="A161">
        <f t="shared" si="4"/>
        <v>5.5331779240609391E-3</v>
      </c>
      <c r="B161">
        <f t="shared" si="5"/>
        <v>0.25289820861397833</v>
      </c>
    </row>
    <row r="162" spans="1:2" x14ac:dyDescent="0.3">
      <c r="A162">
        <f t="shared" si="4"/>
        <v>5.6387682515173787E-3</v>
      </c>
      <c r="B162">
        <f t="shared" si="5"/>
        <v>0.25446900494077324</v>
      </c>
    </row>
    <row r="163" spans="1:2" x14ac:dyDescent="0.3">
      <c r="A163">
        <f t="shared" si="4"/>
        <v>5.7457290038536168E-3</v>
      </c>
      <c r="B163">
        <f t="shared" si="5"/>
        <v>0.25603980126756815</v>
      </c>
    </row>
    <row r="164" spans="1:2" x14ac:dyDescent="0.3">
      <c r="A164">
        <f t="shared" si="4"/>
        <v>5.8540701518071114E-3</v>
      </c>
      <c r="B164">
        <f t="shared" si="5"/>
        <v>0.25761059759436306</v>
      </c>
    </row>
    <row r="165" spans="1:2" x14ac:dyDescent="0.3">
      <c r="A165">
        <f t="shared" si="4"/>
        <v>5.9638016961643947E-3</v>
      </c>
      <c r="B165">
        <f t="shared" si="5"/>
        <v>0.25918139392115797</v>
      </c>
    </row>
    <row r="166" spans="1:2" x14ac:dyDescent="0.3">
      <c r="A166">
        <f t="shared" si="4"/>
        <v>6.0749336680152588E-3</v>
      </c>
      <c r="B166">
        <f t="shared" si="5"/>
        <v>0.26075219024795282</v>
      </c>
    </row>
    <row r="167" spans="1:2" x14ac:dyDescent="0.3">
      <c r="A167">
        <f t="shared" si="4"/>
        <v>6.1874761290079405E-3</v>
      </c>
      <c r="B167">
        <f t="shared" si="5"/>
        <v>0.26232298657474773</v>
      </c>
    </row>
    <row r="168" spans="1:2" x14ac:dyDescent="0.3">
      <c r="A168">
        <f t="shared" si="4"/>
        <v>6.30143917160636E-3</v>
      </c>
      <c r="B168">
        <f t="shared" si="5"/>
        <v>0.26389378290154264</v>
      </c>
    </row>
    <row r="169" spans="1:2" x14ac:dyDescent="0.3">
      <c r="A169">
        <f t="shared" si="4"/>
        <v>6.4168329193481366E-3</v>
      </c>
      <c r="B169">
        <f t="shared" si="5"/>
        <v>0.26546457922833755</v>
      </c>
    </row>
    <row r="170" spans="1:2" x14ac:dyDescent="0.3">
      <c r="A170">
        <f t="shared" si="4"/>
        <v>6.533667527104825E-3</v>
      </c>
      <c r="B170">
        <f t="shared" si="5"/>
        <v>0.26703537555513246</v>
      </c>
    </row>
    <row r="171" spans="1:2" x14ac:dyDescent="0.3">
      <c r="A171">
        <f t="shared" si="4"/>
        <v>6.6519531813431509E-3</v>
      </c>
      <c r="B171">
        <f t="shared" si="5"/>
        <v>0.26860617188192731</v>
      </c>
    </row>
    <row r="172" spans="1:2" x14ac:dyDescent="0.3">
      <c r="A172">
        <f t="shared" si="4"/>
        <v>6.7717001003880228E-3</v>
      </c>
      <c r="B172">
        <f t="shared" si="5"/>
        <v>0.27017696820872222</v>
      </c>
    </row>
    <row r="173" spans="1:2" x14ac:dyDescent="0.3">
      <c r="A173">
        <f t="shared" si="4"/>
        <v>6.892918534686765E-3</v>
      </c>
      <c r="B173">
        <f t="shared" si="5"/>
        <v>0.27174776453551713</v>
      </c>
    </row>
    <row r="174" spans="1:2" x14ac:dyDescent="0.3">
      <c r="A174">
        <f t="shared" si="4"/>
        <v>7.0156187670754599E-3</v>
      </c>
      <c r="B174">
        <f t="shared" si="5"/>
        <v>0.27331856086231204</v>
      </c>
    </row>
    <row r="175" spans="1:2" x14ac:dyDescent="0.3">
      <c r="A175">
        <f t="shared" si="4"/>
        <v>7.1398111130461794E-3</v>
      </c>
      <c r="B175">
        <f t="shared" si="5"/>
        <v>0.2748893571891069</v>
      </c>
    </row>
    <row r="176" spans="1:2" x14ac:dyDescent="0.3">
      <c r="A176">
        <f t="shared" si="4"/>
        <v>7.2655059210164352E-3</v>
      </c>
      <c r="B176">
        <f t="shared" si="5"/>
        <v>0.27646015351590175</v>
      </c>
    </row>
    <row r="177" spans="1:2" x14ac:dyDescent="0.3">
      <c r="A177">
        <f t="shared" si="4"/>
        <v>7.3927135725996851E-3</v>
      </c>
      <c r="B177">
        <f t="shared" si="5"/>
        <v>0.27803094984269666</v>
      </c>
    </row>
    <row r="178" spans="1:2" x14ac:dyDescent="0.3">
      <c r="A178">
        <f t="shared" si="4"/>
        <v>7.5214444828779481E-3</v>
      </c>
      <c r="B178">
        <f t="shared" si="5"/>
        <v>0.27960174616949157</v>
      </c>
    </row>
    <row r="179" spans="1:2" x14ac:dyDescent="0.3">
      <c r="A179">
        <f t="shared" si="4"/>
        <v>7.6517091006755855E-3</v>
      </c>
      <c r="B179">
        <f t="shared" si="5"/>
        <v>0.28117254249628648</v>
      </c>
    </row>
    <row r="180" spans="1:2" x14ac:dyDescent="0.3">
      <c r="A180">
        <f t="shared" si="4"/>
        <v>7.7835179088350803E-3</v>
      </c>
      <c r="B180">
        <f t="shared" si="5"/>
        <v>0.28274333882308139</v>
      </c>
    </row>
    <row r="181" spans="1:2" x14ac:dyDescent="0.3">
      <c r="A181">
        <f t="shared" si="4"/>
        <v>7.9168814244942043E-3</v>
      </c>
      <c r="B181">
        <f t="shared" si="5"/>
        <v>0.28431413514987625</v>
      </c>
    </row>
    <row r="182" spans="1:2" x14ac:dyDescent="0.3">
      <c r="A182">
        <f t="shared" si="4"/>
        <v>8.0518101993652946E-3</v>
      </c>
      <c r="B182">
        <f t="shared" si="5"/>
        <v>0.28588493147667116</v>
      </c>
    </row>
    <row r="183" spans="1:2" x14ac:dyDescent="0.3">
      <c r="A183">
        <f t="shared" si="4"/>
        <v>8.1883148200155853E-3</v>
      </c>
      <c r="B183">
        <f t="shared" si="5"/>
        <v>0.28745572780346607</v>
      </c>
    </row>
    <row r="184" spans="1:2" x14ac:dyDescent="0.3">
      <c r="A184">
        <f t="shared" si="4"/>
        <v>8.3264059081498143E-3</v>
      </c>
      <c r="B184">
        <f t="shared" si="5"/>
        <v>0.28902652413026098</v>
      </c>
    </row>
    <row r="185" spans="1:2" x14ac:dyDescent="0.3">
      <c r="A185">
        <f t="shared" si="4"/>
        <v>8.4660941208942742E-3</v>
      </c>
      <c r="B185">
        <f t="shared" si="5"/>
        <v>0.29059732045705589</v>
      </c>
    </row>
    <row r="186" spans="1:2" x14ac:dyDescent="0.3">
      <c r="A186">
        <f t="shared" si="4"/>
        <v>8.6073901510826945E-3</v>
      </c>
      <c r="B186">
        <f t="shared" si="5"/>
        <v>0.29216811678385074</v>
      </c>
    </row>
    <row r="187" spans="1:2" x14ac:dyDescent="0.3">
      <c r="A187">
        <f t="shared" si="4"/>
        <v>8.750304727543845E-3</v>
      </c>
      <c r="B187">
        <f t="shared" si="5"/>
        <v>0.29373891311064565</v>
      </c>
    </row>
    <row r="188" spans="1:2" x14ac:dyDescent="0.3">
      <c r="A188">
        <f t="shared" si="4"/>
        <v>8.8948486153910267E-3</v>
      </c>
      <c r="B188">
        <f t="shared" si="5"/>
        <v>0.29530970943744056</v>
      </c>
    </row>
    <row r="189" spans="1:2" x14ac:dyDescent="0.3">
      <c r="A189">
        <f t="shared" si="4"/>
        <v>9.0410326163131716E-3</v>
      </c>
      <c r="B189">
        <f t="shared" si="5"/>
        <v>0.29688050576423547</v>
      </c>
    </row>
    <row r="190" spans="1:2" x14ac:dyDescent="0.3">
      <c r="A190">
        <f t="shared" si="4"/>
        <v>9.1888675688679422E-3</v>
      </c>
      <c r="B190">
        <f t="shared" si="5"/>
        <v>0.29845130209103032</v>
      </c>
    </row>
    <row r="191" spans="1:2" x14ac:dyDescent="0.3">
      <c r="A191">
        <f t="shared" si="4"/>
        <v>9.3383643487765511E-3</v>
      </c>
      <c r="B191">
        <f t="shared" si="5"/>
        <v>0.30002209841782523</v>
      </c>
    </row>
    <row r="192" spans="1:2" x14ac:dyDescent="0.3">
      <c r="A192">
        <f t="shared" si="4"/>
        <v>9.4895338692204123E-3</v>
      </c>
      <c r="B192">
        <f t="shared" si="5"/>
        <v>0.30159289474462014</v>
      </c>
    </row>
    <row r="193" spans="1:2" x14ac:dyDescent="0.3">
      <c r="A193">
        <f t="shared" si="4"/>
        <v>9.6423870811398471E-3</v>
      </c>
      <c r="B193">
        <f t="shared" si="5"/>
        <v>0.30316369107141505</v>
      </c>
    </row>
    <row r="194" spans="1:2" x14ac:dyDescent="0.3">
      <c r="A194">
        <f t="shared" ref="A194:A257" si="6">TAN(B194)-B194</f>
        <v>9.7969349735343991E-3</v>
      </c>
      <c r="B194">
        <f t="shared" ref="B194:B257" si="7">ROW()*0.001*PI()/2</f>
        <v>0.30473448739820996</v>
      </c>
    </row>
    <row r="195" spans="1:2" x14ac:dyDescent="0.3">
      <c r="A195">
        <f t="shared" si="6"/>
        <v>9.9531885737653147E-3</v>
      </c>
      <c r="B195">
        <f t="shared" si="7"/>
        <v>0.30630528372500482</v>
      </c>
    </row>
    <row r="196" spans="1:2" x14ac:dyDescent="0.3">
      <c r="A196">
        <f t="shared" si="6"/>
        <v>1.0111158947859744E-2</v>
      </c>
      <c r="B196">
        <f t="shared" si="7"/>
        <v>0.30787608005179973</v>
      </c>
    </row>
    <row r="197" spans="1:2" x14ac:dyDescent="0.3">
      <c r="A197">
        <f t="shared" si="6"/>
        <v>1.0270857200816996E-2</v>
      </c>
      <c r="B197">
        <f t="shared" si="7"/>
        <v>0.30944687637859464</v>
      </c>
    </row>
    <row r="198" spans="1:2" x14ac:dyDescent="0.3">
      <c r="A198">
        <f t="shared" si="6"/>
        <v>1.0432294476916681E-2</v>
      </c>
      <c r="B198">
        <f t="shared" si="7"/>
        <v>0.31101767270538955</v>
      </c>
    </row>
    <row r="199" spans="1:2" x14ac:dyDescent="0.3">
      <c r="A199">
        <f t="shared" si="6"/>
        <v>1.0595481960029074E-2</v>
      </c>
      <c r="B199">
        <f t="shared" si="7"/>
        <v>0.31258846903218446</v>
      </c>
    </row>
    <row r="200" spans="1:2" x14ac:dyDescent="0.3">
      <c r="A200">
        <f t="shared" si="6"/>
        <v>1.0760430873926974E-2</v>
      </c>
      <c r="B200">
        <f t="shared" si="7"/>
        <v>0.31415926535897931</v>
      </c>
    </row>
    <row r="201" spans="1:2" x14ac:dyDescent="0.3">
      <c r="A201">
        <f t="shared" si="6"/>
        <v>1.0927152482600178E-2</v>
      </c>
      <c r="B201">
        <f t="shared" si="7"/>
        <v>0.31573006168577422</v>
      </c>
    </row>
    <row r="202" spans="1:2" x14ac:dyDescent="0.3">
      <c r="A202">
        <f t="shared" si="6"/>
        <v>1.1095658090571503E-2</v>
      </c>
      <c r="B202">
        <f t="shared" si="7"/>
        <v>0.31730085801256913</v>
      </c>
    </row>
    <row r="203" spans="1:2" x14ac:dyDescent="0.3">
      <c r="A203">
        <f t="shared" si="6"/>
        <v>1.1265959043215201E-2</v>
      </c>
      <c r="B203">
        <f t="shared" si="7"/>
        <v>0.31887165433936404</v>
      </c>
    </row>
    <row r="204" spans="1:2" x14ac:dyDescent="0.3">
      <c r="A204">
        <f t="shared" si="6"/>
        <v>1.1438066727077201E-2</v>
      </c>
      <c r="B204">
        <f t="shared" si="7"/>
        <v>0.3204424506661589</v>
      </c>
    </row>
    <row r="205" spans="1:2" x14ac:dyDescent="0.3">
      <c r="A205">
        <f t="shared" si="6"/>
        <v>1.1611992570197682E-2</v>
      </c>
      <c r="B205">
        <f t="shared" si="7"/>
        <v>0.32201324699295381</v>
      </c>
    </row>
    <row r="206" spans="1:2" x14ac:dyDescent="0.3">
      <c r="A206">
        <f t="shared" si="6"/>
        <v>1.1787748042435597E-2</v>
      </c>
      <c r="B206">
        <f t="shared" si="7"/>
        <v>0.32358404331974872</v>
      </c>
    </row>
    <row r="207" spans="1:2" x14ac:dyDescent="0.3">
      <c r="A207">
        <f t="shared" si="6"/>
        <v>1.1965344655795407E-2</v>
      </c>
      <c r="B207">
        <f t="shared" si="7"/>
        <v>0.32515483964654363</v>
      </c>
    </row>
    <row r="208" spans="1:2" x14ac:dyDescent="0.3">
      <c r="A208">
        <f t="shared" si="6"/>
        <v>1.2144793964755929E-2</v>
      </c>
      <c r="B208">
        <f t="shared" si="7"/>
        <v>0.32672563597333854</v>
      </c>
    </row>
    <row r="209" spans="1:2" x14ac:dyDescent="0.3">
      <c r="A209">
        <f t="shared" si="6"/>
        <v>1.2326107566601407E-2</v>
      </c>
      <c r="B209">
        <f t="shared" si="7"/>
        <v>0.32829643230013339</v>
      </c>
    </row>
    <row r="210" spans="1:2" x14ac:dyDescent="0.3">
      <c r="A210">
        <f t="shared" si="6"/>
        <v>1.2509297101754746E-2</v>
      </c>
      <c r="B210">
        <f t="shared" si="7"/>
        <v>0.32986722862692824</v>
      </c>
    </row>
    <row r="211" spans="1:2" x14ac:dyDescent="0.3">
      <c r="A211">
        <f t="shared" si="6"/>
        <v>1.2694374254113128E-2</v>
      </c>
      <c r="B211">
        <f t="shared" si="7"/>
        <v>0.33143802495372315</v>
      </c>
    </row>
    <row r="212" spans="1:2" x14ac:dyDescent="0.3">
      <c r="A212">
        <f t="shared" si="6"/>
        <v>1.2881350751385467E-2</v>
      </c>
      <c r="B212">
        <f t="shared" si="7"/>
        <v>0.33300882128051806</v>
      </c>
    </row>
    <row r="213" spans="1:2" x14ac:dyDescent="0.3">
      <c r="A213">
        <f t="shared" si="6"/>
        <v>1.307023836543264E-2</v>
      </c>
      <c r="B213">
        <f t="shared" si="7"/>
        <v>0.33457961760731297</v>
      </c>
    </row>
    <row r="214" spans="1:2" x14ac:dyDescent="0.3">
      <c r="A214">
        <f t="shared" si="6"/>
        <v>1.3261048912609763E-2</v>
      </c>
      <c r="B214">
        <f t="shared" si="7"/>
        <v>0.33615041393410788</v>
      </c>
    </row>
    <row r="215" spans="1:2" x14ac:dyDescent="0.3">
      <c r="A215">
        <f t="shared" si="6"/>
        <v>1.345379425411064E-2</v>
      </c>
      <c r="B215">
        <f t="shared" si="7"/>
        <v>0.33772121026090274</v>
      </c>
    </row>
    <row r="216" spans="1:2" x14ac:dyDescent="0.3">
      <c r="A216">
        <f t="shared" si="6"/>
        <v>1.3648486296314821E-2</v>
      </c>
      <c r="B216">
        <f t="shared" si="7"/>
        <v>0.33929200658769765</v>
      </c>
    </row>
    <row r="217" spans="1:2" x14ac:dyDescent="0.3">
      <c r="A217">
        <f t="shared" si="6"/>
        <v>1.3845136991136653E-2</v>
      </c>
      <c r="B217">
        <f t="shared" si="7"/>
        <v>0.34086280291449256</v>
      </c>
    </row>
    <row r="218" spans="1:2" x14ac:dyDescent="0.3">
      <c r="A218">
        <f t="shared" si="6"/>
        <v>1.4043758336377332E-2</v>
      </c>
      <c r="B218">
        <f t="shared" si="7"/>
        <v>0.34243359924128747</v>
      </c>
    </row>
    <row r="219" spans="1:2" x14ac:dyDescent="0.3">
      <c r="A219">
        <f t="shared" si="6"/>
        <v>1.4244362376078568E-2</v>
      </c>
      <c r="B219">
        <f t="shared" si="7"/>
        <v>0.34400439556808232</v>
      </c>
    </row>
    <row r="220" spans="1:2" x14ac:dyDescent="0.3">
      <c r="A220">
        <f t="shared" si="6"/>
        <v>1.4446961200879349E-2</v>
      </c>
      <c r="B220">
        <f t="shared" si="7"/>
        <v>0.34557519189487723</v>
      </c>
    </row>
    <row r="221" spans="1:2" x14ac:dyDescent="0.3">
      <c r="A221">
        <f t="shared" si="6"/>
        <v>1.4651566948374772E-2</v>
      </c>
      <c r="B221">
        <f t="shared" si="7"/>
        <v>0.34714598822167214</v>
      </c>
    </row>
    <row r="222" spans="1:2" x14ac:dyDescent="0.3">
      <c r="A222">
        <f t="shared" si="6"/>
        <v>1.485819180347725E-2</v>
      </c>
      <c r="B222">
        <f t="shared" si="7"/>
        <v>0.34871678454846705</v>
      </c>
    </row>
    <row r="223" spans="1:2" x14ac:dyDescent="0.3">
      <c r="A223">
        <f t="shared" si="6"/>
        <v>1.5066847998780886E-2</v>
      </c>
      <c r="B223">
        <f t="shared" si="7"/>
        <v>0.35028758087526196</v>
      </c>
    </row>
    <row r="224" spans="1:2" x14ac:dyDescent="0.3">
      <c r="A224">
        <f t="shared" si="6"/>
        <v>1.527754781492735E-2</v>
      </c>
      <c r="B224">
        <f t="shared" si="7"/>
        <v>0.35185837720205682</v>
      </c>
    </row>
    <row r="225" spans="1:2" x14ac:dyDescent="0.3">
      <c r="A225">
        <f t="shared" si="6"/>
        <v>1.5490303580975362E-2</v>
      </c>
      <c r="B225">
        <f t="shared" si="7"/>
        <v>0.35342917352885173</v>
      </c>
    </row>
    <row r="226" spans="1:2" x14ac:dyDescent="0.3">
      <c r="A226">
        <f t="shared" si="6"/>
        <v>1.5705127674771668E-2</v>
      </c>
      <c r="B226">
        <f t="shared" si="7"/>
        <v>0.35499996985564664</v>
      </c>
    </row>
    <row r="227" spans="1:2" x14ac:dyDescent="0.3">
      <c r="A227">
        <f t="shared" si="6"/>
        <v>1.5922032523325691E-2</v>
      </c>
      <c r="B227">
        <f t="shared" si="7"/>
        <v>0.35657076618244155</v>
      </c>
    </row>
    <row r="228" spans="1:2" x14ac:dyDescent="0.3">
      <c r="A228">
        <f t="shared" si="6"/>
        <v>1.6141030603186057E-2</v>
      </c>
      <c r="B228">
        <f t="shared" si="7"/>
        <v>0.35814156250923646</v>
      </c>
    </row>
    <row r="229" spans="1:2" x14ac:dyDescent="0.3">
      <c r="A229">
        <f t="shared" si="6"/>
        <v>1.6362134440819742E-2</v>
      </c>
      <c r="B229">
        <f t="shared" si="7"/>
        <v>0.35971235883603131</v>
      </c>
    </row>
    <row r="230" spans="1:2" x14ac:dyDescent="0.3">
      <c r="A230">
        <f t="shared" si="6"/>
        <v>1.6585356612994706E-2</v>
      </c>
      <c r="B230">
        <f t="shared" si="7"/>
        <v>0.36128315516282622</v>
      </c>
    </row>
    <row r="231" spans="1:2" x14ac:dyDescent="0.3">
      <c r="A231">
        <f t="shared" si="6"/>
        <v>1.6810709747164088E-2</v>
      </c>
      <c r="B231">
        <f t="shared" si="7"/>
        <v>0.36285395148962113</v>
      </c>
    </row>
    <row r="232" spans="1:2" x14ac:dyDescent="0.3">
      <c r="A232">
        <f t="shared" si="6"/>
        <v>1.7038206521854005E-2</v>
      </c>
      <c r="B232">
        <f t="shared" si="7"/>
        <v>0.36442474781641604</v>
      </c>
    </row>
    <row r="233" spans="1:2" x14ac:dyDescent="0.3">
      <c r="A233">
        <f t="shared" si="6"/>
        <v>1.7267859667053631E-2</v>
      </c>
      <c r="B233">
        <f t="shared" si="7"/>
        <v>0.36599554414321089</v>
      </c>
    </row>
    <row r="234" spans="1:2" x14ac:dyDescent="0.3">
      <c r="A234">
        <f t="shared" si="6"/>
        <v>1.7499681964608382E-2</v>
      </c>
      <c r="B234">
        <f t="shared" si="7"/>
        <v>0.3675663404700058</v>
      </c>
    </row>
    <row r="235" spans="1:2" x14ac:dyDescent="0.3">
      <c r="A235">
        <f t="shared" si="6"/>
        <v>1.7733686248615488E-2</v>
      </c>
      <c r="B235">
        <f t="shared" si="7"/>
        <v>0.36913713679680071</v>
      </c>
    </row>
    <row r="236" spans="1:2" x14ac:dyDescent="0.3">
      <c r="A236">
        <f t="shared" si="6"/>
        <v>1.7969885405822839E-2</v>
      </c>
      <c r="B236">
        <f t="shared" si="7"/>
        <v>0.37070793312359562</v>
      </c>
    </row>
    <row r="237" spans="1:2" x14ac:dyDescent="0.3">
      <c r="A237">
        <f t="shared" si="6"/>
        <v>1.8208292376030333E-2</v>
      </c>
      <c r="B237">
        <f t="shared" si="7"/>
        <v>0.37227872945039053</v>
      </c>
    </row>
    <row r="238" spans="1:2" x14ac:dyDescent="0.3">
      <c r="A238">
        <f t="shared" si="6"/>
        <v>1.8448920152494275E-2</v>
      </c>
      <c r="B238">
        <f t="shared" si="7"/>
        <v>0.37384952577718539</v>
      </c>
    </row>
    <row r="239" spans="1:2" x14ac:dyDescent="0.3">
      <c r="A239">
        <f t="shared" si="6"/>
        <v>1.8691781782334826E-2</v>
      </c>
      <c r="B239">
        <f t="shared" si="7"/>
        <v>0.3754203221039803</v>
      </c>
    </row>
    <row r="240" spans="1:2" x14ac:dyDescent="0.3">
      <c r="A240">
        <f t="shared" si="6"/>
        <v>1.8936890366946069E-2</v>
      </c>
      <c r="B240">
        <f t="shared" si="7"/>
        <v>0.37699111843077515</v>
      </c>
    </row>
    <row r="241" spans="1:2" x14ac:dyDescent="0.3">
      <c r="A241">
        <f t="shared" si="6"/>
        <v>1.918425906240917E-2</v>
      </c>
      <c r="B241">
        <f t="shared" si="7"/>
        <v>0.37856191475757006</v>
      </c>
    </row>
    <row r="242" spans="1:2" x14ac:dyDescent="0.3">
      <c r="A242">
        <f t="shared" si="6"/>
        <v>1.9433901079908833E-2</v>
      </c>
      <c r="B242">
        <f t="shared" si="7"/>
        <v>0.38013271108436497</v>
      </c>
    </row>
    <row r="243" spans="1:2" x14ac:dyDescent="0.3">
      <c r="A243">
        <f t="shared" si="6"/>
        <v>1.9685829686152179E-2</v>
      </c>
      <c r="B243">
        <f t="shared" si="7"/>
        <v>0.38170350741115988</v>
      </c>
    </row>
    <row r="244" spans="1:2" x14ac:dyDescent="0.3">
      <c r="A244">
        <f t="shared" si="6"/>
        <v>1.9940058203791411E-2</v>
      </c>
      <c r="B244">
        <f t="shared" si="7"/>
        <v>0.38327430373795474</v>
      </c>
    </row>
    <row r="245" spans="1:2" x14ac:dyDescent="0.3">
      <c r="A245">
        <f t="shared" si="6"/>
        <v>2.0196600011848975E-2</v>
      </c>
      <c r="B245">
        <f t="shared" si="7"/>
        <v>0.38484510006474965</v>
      </c>
    </row>
    <row r="246" spans="1:2" x14ac:dyDescent="0.3">
      <c r="A246">
        <f t="shared" si="6"/>
        <v>2.0455468546145938E-2</v>
      </c>
      <c r="B246">
        <f t="shared" si="7"/>
        <v>0.38641589639154456</v>
      </c>
    </row>
    <row r="247" spans="1:2" x14ac:dyDescent="0.3">
      <c r="A247">
        <f t="shared" si="6"/>
        <v>2.0716677299734032E-2</v>
      </c>
      <c r="B247">
        <f t="shared" si="7"/>
        <v>0.38798669271833947</v>
      </c>
    </row>
    <row r="248" spans="1:2" x14ac:dyDescent="0.3">
      <c r="A248">
        <f t="shared" si="6"/>
        <v>2.0980239823330027E-2</v>
      </c>
      <c r="B248">
        <f t="shared" si="7"/>
        <v>0.38955748904513432</v>
      </c>
    </row>
    <row r="249" spans="1:2" x14ac:dyDescent="0.3">
      <c r="A249">
        <f t="shared" si="6"/>
        <v>2.1246169725754105E-2</v>
      </c>
      <c r="B249">
        <f t="shared" si="7"/>
        <v>0.39112828537192923</v>
      </c>
    </row>
    <row r="250" spans="1:2" x14ac:dyDescent="0.3">
      <c r="A250">
        <f t="shared" si="6"/>
        <v>2.1514480674370895E-2</v>
      </c>
      <c r="B250">
        <f t="shared" si="7"/>
        <v>0.39269908169872414</v>
      </c>
    </row>
    <row r="251" spans="1:2" x14ac:dyDescent="0.3">
      <c r="A251">
        <f t="shared" si="6"/>
        <v>2.1785186395534228E-2</v>
      </c>
      <c r="B251">
        <f t="shared" si="7"/>
        <v>0.39426987802551905</v>
      </c>
    </row>
    <row r="252" spans="1:2" x14ac:dyDescent="0.3">
      <c r="A252">
        <f t="shared" si="6"/>
        <v>2.2058300675034781E-2</v>
      </c>
      <c r="B252">
        <f t="shared" si="7"/>
        <v>0.39584067435231396</v>
      </c>
    </row>
    <row r="253" spans="1:2" x14ac:dyDescent="0.3">
      <c r="A253">
        <f t="shared" si="6"/>
        <v>2.2333837358551489E-2</v>
      </c>
      <c r="B253">
        <f t="shared" si="7"/>
        <v>0.39741147067910881</v>
      </c>
    </row>
    <row r="254" spans="1:2" x14ac:dyDescent="0.3">
      <c r="A254">
        <f t="shared" si="6"/>
        <v>2.2611810352106021E-2</v>
      </c>
      <c r="B254">
        <f t="shared" si="7"/>
        <v>0.39898226700590372</v>
      </c>
    </row>
    <row r="255" spans="1:2" x14ac:dyDescent="0.3">
      <c r="A255">
        <f t="shared" si="6"/>
        <v>2.2892233622520575E-2</v>
      </c>
      <c r="B255">
        <f t="shared" si="7"/>
        <v>0.40055306333269863</v>
      </c>
    </row>
    <row r="256" spans="1:2" x14ac:dyDescent="0.3">
      <c r="A256">
        <f t="shared" si="6"/>
        <v>2.3175121197879622E-2</v>
      </c>
      <c r="B256">
        <f t="shared" si="7"/>
        <v>0.40212385965949354</v>
      </c>
    </row>
    <row r="257" spans="1:2" x14ac:dyDescent="0.3">
      <c r="A257">
        <f t="shared" si="6"/>
        <v>2.3460487167994482E-2</v>
      </c>
      <c r="B257">
        <f t="shared" si="7"/>
        <v>0.4036946559862884</v>
      </c>
    </row>
    <row r="258" spans="1:2" x14ac:dyDescent="0.3">
      <c r="A258">
        <f t="shared" ref="A258:A321" si="8">TAN(B258)-B258</f>
        <v>2.374834568487183E-2</v>
      </c>
      <c r="B258">
        <f t="shared" ref="B258:B321" si="9">ROW()*0.001*PI()/2</f>
        <v>0.40526545231308331</v>
      </c>
    </row>
    <row r="259" spans="1:2" x14ac:dyDescent="0.3">
      <c r="A259">
        <f t="shared" si="8"/>
        <v>2.4038710963185717E-2</v>
      </c>
      <c r="B259">
        <f t="shared" si="9"/>
        <v>0.40683624863987822</v>
      </c>
    </row>
    <row r="260" spans="1:2" x14ac:dyDescent="0.3">
      <c r="A260">
        <f t="shared" si="8"/>
        <v>2.4331597280752792E-2</v>
      </c>
      <c r="B260">
        <f t="shared" si="9"/>
        <v>0.40840704496667313</v>
      </c>
    </row>
    <row r="261" spans="1:2" x14ac:dyDescent="0.3">
      <c r="A261">
        <f t="shared" si="8"/>
        <v>2.4627018979011817E-2</v>
      </c>
      <c r="B261">
        <f t="shared" si="9"/>
        <v>0.40997784129346804</v>
      </c>
    </row>
    <row r="262" spans="1:2" x14ac:dyDescent="0.3">
      <c r="A262">
        <f t="shared" si="8"/>
        <v>2.4924990463505881E-2</v>
      </c>
      <c r="B262">
        <f t="shared" si="9"/>
        <v>0.41154863762026289</v>
      </c>
    </row>
    <row r="263" spans="1:2" x14ac:dyDescent="0.3">
      <c r="A263">
        <f t="shared" si="8"/>
        <v>2.5225526204369464E-2</v>
      </c>
      <c r="B263">
        <f t="shared" si="9"/>
        <v>0.4131194339470578</v>
      </c>
    </row>
    <row r="264" spans="1:2" x14ac:dyDescent="0.3">
      <c r="A264">
        <f t="shared" si="8"/>
        <v>2.5528640736817931E-2</v>
      </c>
      <c r="B264">
        <f t="shared" si="9"/>
        <v>0.41469023027385271</v>
      </c>
    </row>
    <row r="265" spans="1:2" x14ac:dyDescent="0.3">
      <c r="A265">
        <f t="shared" si="8"/>
        <v>2.5834348661642081E-2</v>
      </c>
      <c r="B265">
        <f t="shared" si="9"/>
        <v>0.41626102660064762</v>
      </c>
    </row>
    <row r="266" spans="1:2" x14ac:dyDescent="0.3">
      <c r="A266">
        <f t="shared" si="8"/>
        <v>2.6142664645705249E-2</v>
      </c>
      <c r="B266">
        <f t="shared" si="9"/>
        <v>0.41783182292744253</v>
      </c>
    </row>
    <row r="267" spans="1:2" x14ac:dyDescent="0.3">
      <c r="A267">
        <f t="shared" si="8"/>
        <v>2.6453603422445349E-2</v>
      </c>
      <c r="B267">
        <f t="shared" si="9"/>
        <v>0.41940261925423739</v>
      </c>
    </row>
    <row r="268" spans="1:2" x14ac:dyDescent="0.3">
      <c r="A268">
        <f t="shared" si="8"/>
        <v>2.6767179792379914E-2</v>
      </c>
      <c r="B268">
        <f t="shared" si="9"/>
        <v>0.4209734155810323</v>
      </c>
    </row>
    <row r="269" spans="1:2" x14ac:dyDescent="0.3">
      <c r="A269">
        <f t="shared" si="8"/>
        <v>2.7083408623615579E-2</v>
      </c>
      <c r="B269">
        <f t="shared" si="9"/>
        <v>0.42254421190782721</v>
      </c>
    </row>
    <row r="270" spans="1:2" x14ac:dyDescent="0.3">
      <c r="A270">
        <f t="shared" si="8"/>
        <v>2.7402304852361226E-2</v>
      </c>
      <c r="B270">
        <f t="shared" si="9"/>
        <v>0.42411500823462212</v>
      </c>
    </row>
    <row r="271" spans="1:2" x14ac:dyDescent="0.3">
      <c r="A271">
        <f t="shared" si="8"/>
        <v>2.7723883483445233E-2</v>
      </c>
      <c r="B271">
        <f t="shared" si="9"/>
        <v>0.42568580456141697</v>
      </c>
    </row>
    <row r="272" spans="1:2" x14ac:dyDescent="0.3">
      <c r="A272">
        <f t="shared" si="8"/>
        <v>2.8048159590836896E-2</v>
      </c>
      <c r="B272">
        <f t="shared" si="9"/>
        <v>0.42725660088821188</v>
      </c>
    </row>
    <row r="273" spans="1:2" x14ac:dyDescent="0.3">
      <c r="A273">
        <f t="shared" si="8"/>
        <v>2.837514831817145E-2</v>
      </c>
      <c r="B273">
        <f t="shared" si="9"/>
        <v>0.42882739721500679</v>
      </c>
    </row>
    <row r="274" spans="1:2" x14ac:dyDescent="0.3">
      <c r="A274">
        <f t="shared" si="8"/>
        <v>2.8704864879279701E-2</v>
      </c>
      <c r="B274">
        <f t="shared" si="9"/>
        <v>0.4303981935418017</v>
      </c>
    </row>
    <row r="275" spans="1:2" x14ac:dyDescent="0.3">
      <c r="A275">
        <f t="shared" si="8"/>
        <v>2.90373245587216E-2</v>
      </c>
      <c r="B275">
        <f t="shared" si="9"/>
        <v>0.43196898986859661</v>
      </c>
    </row>
    <row r="276" spans="1:2" x14ac:dyDescent="0.3">
      <c r="A276">
        <f t="shared" si="8"/>
        <v>2.9372542712323813E-2</v>
      </c>
      <c r="B276">
        <f t="shared" si="9"/>
        <v>0.43353978619539146</v>
      </c>
    </row>
    <row r="277" spans="1:2" x14ac:dyDescent="0.3">
      <c r="A277">
        <f t="shared" si="8"/>
        <v>2.9710534767721897E-2</v>
      </c>
      <c r="B277">
        <f t="shared" si="9"/>
        <v>0.43511058252218637</v>
      </c>
    </row>
    <row r="278" spans="1:2" x14ac:dyDescent="0.3">
      <c r="A278">
        <f t="shared" si="8"/>
        <v>3.0051316224906477E-2</v>
      </c>
      <c r="B278">
        <f t="shared" si="9"/>
        <v>0.43668137884898128</v>
      </c>
    </row>
    <row r="279" spans="1:2" x14ac:dyDescent="0.3">
      <c r="A279">
        <f t="shared" si="8"/>
        <v>3.0394902656773748E-2</v>
      </c>
      <c r="B279">
        <f t="shared" si="9"/>
        <v>0.43825217517577619</v>
      </c>
    </row>
    <row r="280" spans="1:2" x14ac:dyDescent="0.3">
      <c r="A280">
        <f t="shared" si="8"/>
        <v>3.0741309709680475E-2</v>
      </c>
      <c r="B280">
        <f t="shared" si="9"/>
        <v>0.4398229715025711</v>
      </c>
    </row>
    <row r="281" spans="1:2" x14ac:dyDescent="0.3">
      <c r="A281">
        <f t="shared" si="8"/>
        <v>3.1090553104003271E-2</v>
      </c>
      <c r="B281">
        <f t="shared" si="9"/>
        <v>0.44139376782936596</v>
      </c>
    </row>
    <row r="282" spans="1:2" x14ac:dyDescent="0.3">
      <c r="A282">
        <f t="shared" si="8"/>
        <v>3.1442648634702475E-2</v>
      </c>
      <c r="B282">
        <f t="shared" si="9"/>
        <v>0.44296456415616087</v>
      </c>
    </row>
    <row r="283" spans="1:2" x14ac:dyDescent="0.3">
      <c r="A283">
        <f t="shared" si="8"/>
        <v>3.1797612171890199E-2</v>
      </c>
      <c r="B283">
        <f t="shared" si="9"/>
        <v>0.44453536048295578</v>
      </c>
    </row>
    <row r="284" spans="1:2" x14ac:dyDescent="0.3">
      <c r="A284">
        <f t="shared" si="8"/>
        <v>3.2155459661403318E-2</v>
      </c>
      <c r="B284">
        <f t="shared" si="9"/>
        <v>0.44610615680975069</v>
      </c>
    </row>
    <row r="285" spans="1:2" x14ac:dyDescent="0.3">
      <c r="A285">
        <f t="shared" si="8"/>
        <v>3.2516207125380558E-2</v>
      </c>
      <c r="B285">
        <f t="shared" si="9"/>
        <v>0.44767695313654554</v>
      </c>
    </row>
    <row r="286" spans="1:2" x14ac:dyDescent="0.3">
      <c r="A286">
        <f t="shared" si="8"/>
        <v>3.2879870662844868E-2</v>
      </c>
      <c r="B286">
        <f t="shared" si="9"/>
        <v>0.44924774946334045</v>
      </c>
    </row>
    <row r="287" spans="1:2" x14ac:dyDescent="0.3">
      <c r="A287">
        <f t="shared" si="8"/>
        <v>3.3246466450289891E-2</v>
      </c>
      <c r="B287">
        <f t="shared" si="9"/>
        <v>0.45081854579013536</v>
      </c>
    </row>
    <row r="288" spans="1:2" x14ac:dyDescent="0.3">
      <c r="A288">
        <f t="shared" si="8"/>
        <v>3.3616010742271107E-2</v>
      </c>
      <c r="B288">
        <f t="shared" si="9"/>
        <v>0.45238934211693027</v>
      </c>
    </row>
    <row r="289" spans="1:2" x14ac:dyDescent="0.3">
      <c r="A289">
        <f t="shared" si="8"/>
        <v>3.3988519872002465E-2</v>
      </c>
      <c r="B289">
        <f t="shared" si="9"/>
        <v>0.45396013844372507</v>
      </c>
    </row>
    <row r="290" spans="1:2" x14ac:dyDescent="0.3">
      <c r="A290">
        <f t="shared" si="8"/>
        <v>3.4364010251957011E-2</v>
      </c>
      <c r="B290">
        <f t="shared" si="9"/>
        <v>0.45553093477051998</v>
      </c>
    </row>
    <row r="291" spans="1:2" x14ac:dyDescent="0.3">
      <c r="A291">
        <f t="shared" si="8"/>
        <v>3.4742498374472797E-2</v>
      </c>
      <c r="B291">
        <f t="shared" si="9"/>
        <v>0.45710173109731489</v>
      </c>
    </row>
    <row r="292" spans="1:2" x14ac:dyDescent="0.3">
      <c r="A292">
        <f t="shared" si="8"/>
        <v>3.5124000812363609E-2</v>
      </c>
      <c r="B292">
        <f t="shared" si="9"/>
        <v>0.45867252742410974</v>
      </c>
    </row>
    <row r="293" spans="1:2" x14ac:dyDescent="0.3">
      <c r="A293">
        <f t="shared" si="8"/>
        <v>3.5508534219534704E-2</v>
      </c>
      <c r="B293">
        <f t="shared" si="9"/>
        <v>0.46024332375090465</v>
      </c>
    </row>
    <row r="294" spans="1:2" x14ac:dyDescent="0.3">
      <c r="A294">
        <f t="shared" si="8"/>
        <v>3.5896115331603584E-2</v>
      </c>
      <c r="B294">
        <f t="shared" si="9"/>
        <v>0.46181412007769956</v>
      </c>
    </row>
    <row r="295" spans="1:2" x14ac:dyDescent="0.3">
      <c r="A295">
        <f t="shared" si="8"/>
        <v>3.6286760966525666E-2</v>
      </c>
      <c r="B295">
        <f t="shared" si="9"/>
        <v>0.46338491640449447</v>
      </c>
    </row>
    <row r="296" spans="1:2" x14ac:dyDescent="0.3">
      <c r="A296">
        <f t="shared" si="8"/>
        <v>3.6680488025225222E-2</v>
      </c>
      <c r="B296">
        <f t="shared" si="9"/>
        <v>0.46495571273128938</v>
      </c>
    </row>
    <row r="297" spans="1:2" x14ac:dyDescent="0.3">
      <c r="A297">
        <f t="shared" si="8"/>
        <v>3.7077313492231312E-2</v>
      </c>
      <c r="B297">
        <f t="shared" si="9"/>
        <v>0.46652650905808424</v>
      </c>
    </row>
    <row r="298" spans="1:2" x14ac:dyDescent="0.3">
      <c r="A298">
        <f t="shared" si="8"/>
        <v>3.7477254436319551E-2</v>
      </c>
      <c r="B298">
        <f t="shared" si="9"/>
        <v>0.46809730538487915</v>
      </c>
    </row>
    <row r="299" spans="1:2" x14ac:dyDescent="0.3">
      <c r="A299">
        <f t="shared" si="8"/>
        <v>3.7880328011158149E-2</v>
      </c>
      <c r="B299">
        <f t="shared" si="9"/>
        <v>0.46966810171167406</v>
      </c>
    </row>
    <row r="300" spans="1:2" x14ac:dyDescent="0.3">
      <c r="A300">
        <f t="shared" si="8"/>
        <v>3.8286551455959827E-2</v>
      </c>
      <c r="B300">
        <f t="shared" si="9"/>
        <v>0.47123889803846897</v>
      </c>
    </row>
    <row r="301" spans="1:2" x14ac:dyDescent="0.3">
      <c r="A301">
        <f t="shared" si="8"/>
        <v>3.8695942096139413E-2</v>
      </c>
      <c r="B301">
        <f t="shared" si="9"/>
        <v>0.47280969436526382</v>
      </c>
    </row>
    <row r="302" spans="1:2" x14ac:dyDescent="0.3">
      <c r="A302">
        <f t="shared" si="8"/>
        <v>3.9108517343976412E-2</v>
      </c>
      <c r="B302">
        <f t="shared" si="9"/>
        <v>0.47438049069205873</v>
      </c>
    </row>
    <row r="303" spans="1:2" x14ac:dyDescent="0.3">
      <c r="A303">
        <f t="shared" si="8"/>
        <v>3.9524294699283147E-2</v>
      </c>
      <c r="B303">
        <f t="shared" si="9"/>
        <v>0.47595128701885364</v>
      </c>
    </row>
    <row r="304" spans="1:2" x14ac:dyDescent="0.3">
      <c r="A304">
        <f t="shared" si="8"/>
        <v>3.9943291750078547E-2</v>
      </c>
      <c r="B304">
        <f t="shared" si="9"/>
        <v>0.47752208334564855</v>
      </c>
    </row>
    <row r="305" spans="1:2" x14ac:dyDescent="0.3">
      <c r="A305">
        <f t="shared" si="8"/>
        <v>4.036552617326733E-2</v>
      </c>
      <c r="B305">
        <f t="shared" si="9"/>
        <v>0.47909287967244346</v>
      </c>
    </row>
    <row r="306" spans="1:2" x14ac:dyDescent="0.3">
      <c r="A306">
        <f t="shared" si="8"/>
        <v>4.0791015735325398E-2</v>
      </c>
      <c r="B306">
        <f t="shared" si="9"/>
        <v>0.48066367599923832</v>
      </c>
    </row>
    <row r="307" spans="1:2" x14ac:dyDescent="0.3">
      <c r="A307">
        <f t="shared" si="8"/>
        <v>4.1219778292990505E-2</v>
      </c>
      <c r="B307">
        <f t="shared" si="9"/>
        <v>0.48223447232603323</v>
      </c>
    </row>
    <row r="308" spans="1:2" x14ac:dyDescent="0.3">
      <c r="A308">
        <f t="shared" si="8"/>
        <v>4.1651831793958261E-2</v>
      </c>
      <c r="B308">
        <f t="shared" si="9"/>
        <v>0.48380526865282814</v>
      </c>
    </row>
    <row r="309" spans="1:2" x14ac:dyDescent="0.3">
      <c r="A309">
        <f t="shared" si="8"/>
        <v>4.2087194277585227E-2</v>
      </c>
      <c r="B309">
        <f t="shared" si="9"/>
        <v>0.48537606497962305</v>
      </c>
    </row>
    <row r="310" spans="1:2" x14ac:dyDescent="0.3">
      <c r="A310">
        <f t="shared" si="8"/>
        <v>4.2525883875596637E-2</v>
      </c>
      <c r="B310">
        <f t="shared" si="9"/>
        <v>0.48694686130641796</v>
      </c>
    </row>
    <row r="311" spans="1:2" x14ac:dyDescent="0.3">
      <c r="A311">
        <f t="shared" si="8"/>
        <v>4.2967918812801209E-2</v>
      </c>
      <c r="B311">
        <f t="shared" si="9"/>
        <v>0.48851765763321281</v>
      </c>
    </row>
    <row r="312" spans="1:2" x14ac:dyDescent="0.3">
      <c r="A312">
        <f t="shared" si="8"/>
        <v>4.3413317407810681E-2</v>
      </c>
      <c r="B312">
        <f t="shared" si="9"/>
        <v>0.49008845396000772</v>
      </c>
    </row>
    <row r="313" spans="1:2" x14ac:dyDescent="0.3">
      <c r="A313">
        <f t="shared" si="8"/>
        <v>4.3862098073766675E-2</v>
      </c>
      <c r="B313">
        <f t="shared" si="9"/>
        <v>0.49165925028680263</v>
      </c>
    </row>
    <row r="314" spans="1:2" x14ac:dyDescent="0.3">
      <c r="A314">
        <f t="shared" si="8"/>
        <v>4.4314279319073002E-2</v>
      </c>
      <c r="B314">
        <f t="shared" si="9"/>
        <v>0.49323004661359754</v>
      </c>
    </row>
    <row r="315" spans="1:2" x14ac:dyDescent="0.3">
      <c r="A315">
        <f t="shared" si="8"/>
        <v>4.47698797481344E-2</v>
      </c>
      <c r="B315">
        <f t="shared" si="9"/>
        <v>0.49480084294039239</v>
      </c>
    </row>
    <row r="316" spans="1:2" x14ac:dyDescent="0.3">
      <c r="A316">
        <f t="shared" si="8"/>
        <v>4.5228918062101497E-2</v>
      </c>
      <c r="B316">
        <f t="shared" si="9"/>
        <v>0.4963716392671873</v>
      </c>
    </row>
    <row r="317" spans="1:2" x14ac:dyDescent="0.3">
      <c r="A317">
        <f t="shared" si="8"/>
        <v>4.5691413059622432E-2</v>
      </c>
      <c r="B317">
        <f t="shared" si="9"/>
        <v>0.49794243559398221</v>
      </c>
    </row>
    <row r="318" spans="1:2" x14ac:dyDescent="0.3">
      <c r="A318">
        <f t="shared" si="8"/>
        <v>4.6157383637599914E-2</v>
      </c>
      <c r="B318">
        <f t="shared" si="9"/>
        <v>0.49951323192077712</v>
      </c>
    </row>
    <row r="319" spans="1:2" x14ac:dyDescent="0.3">
      <c r="A319">
        <f t="shared" si="8"/>
        <v>4.662684879195611E-2</v>
      </c>
      <c r="B319">
        <f t="shared" si="9"/>
        <v>0.50108402824757203</v>
      </c>
    </row>
    <row r="320" spans="1:2" x14ac:dyDescent="0.3">
      <c r="A320">
        <f t="shared" si="8"/>
        <v>4.7099827618403145E-2</v>
      </c>
      <c r="B320">
        <f t="shared" si="9"/>
        <v>0.50265482457436694</v>
      </c>
    </row>
    <row r="321" spans="1:2" x14ac:dyDescent="0.3">
      <c r="A321">
        <f t="shared" si="8"/>
        <v>4.7576339313220473E-2</v>
      </c>
      <c r="B321">
        <f t="shared" si="9"/>
        <v>0.50422562090116185</v>
      </c>
    </row>
    <row r="322" spans="1:2" x14ac:dyDescent="0.3">
      <c r="A322">
        <f t="shared" ref="A322:A385" si="10">TAN(B322)-B322</f>
        <v>4.805640317403892E-2</v>
      </c>
      <c r="B322">
        <f t="shared" ref="B322:B385" si="11">ROW()*0.001*PI()/2</f>
        <v>0.50579641722795665</v>
      </c>
    </row>
    <row r="323" spans="1:2" x14ac:dyDescent="0.3">
      <c r="A323">
        <f t="shared" si="10"/>
        <v>4.8540038600631608E-2</v>
      </c>
      <c r="B323">
        <f t="shared" si="11"/>
        <v>0.50736721355475156</v>
      </c>
    </row>
    <row r="324" spans="1:2" x14ac:dyDescent="0.3">
      <c r="A324">
        <f t="shared" si="10"/>
        <v>4.9027265095711314E-2</v>
      </c>
      <c r="B324">
        <f t="shared" si="11"/>
        <v>0.50893800988154647</v>
      </c>
    </row>
    <row r="325" spans="1:2" x14ac:dyDescent="0.3">
      <c r="A325">
        <f t="shared" si="10"/>
        <v>4.9518102265735497E-2</v>
      </c>
      <c r="B325">
        <f t="shared" si="11"/>
        <v>0.51050880620834138</v>
      </c>
    </row>
    <row r="326" spans="1:2" x14ac:dyDescent="0.3">
      <c r="A326">
        <f t="shared" si="10"/>
        <v>5.0012569821717423E-2</v>
      </c>
      <c r="B326">
        <f t="shared" si="11"/>
        <v>0.51207960253513629</v>
      </c>
    </row>
    <row r="327" spans="1:2" x14ac:dyDescent="0.3">
      <c r="A327">
        <f t="shared" si="10"/>
        <v>5.0510687580044511E-2</v>
      </c>
      <c r="B327">
        <f t="shared" si="11"/>
        <v>0.5136503988619312</v>
      </c>
    </row>
    <row r="328" spans="1:2" x14ac:dyDescent="0.3">
      <c r="A328">
        <f t="shared" si="10"/>
        <v>5.1012475463304452E-2</v>
      </c>
      <c r="B328">
        <f t="shared" si="11"/>
        <v>0.51522119518872611</v>
      </c>
    </row>
    <row r="329" spans="1:2" x14ac:dyDescent="0.3">
      <c r="A329">
        <f t="shared" si="10"/>
        <v>5.1517953501118097E-2</v>
      </c>
      <c r="B329">
        <f t="shared" si="11"/>
        <v>0.51679199151552102</v>
      </c>
    </row>
    <row r="330" spans="1:2" x14ac:dyDescent="0.3">
      <c r="A330">
        <f t="shared" si="10"/>
        <v>5.2027141830979007E-2</v>
      </c>
      <c r="B330">
        <f t="shared" si="11"/>
        <v>0.51836278784231593</v>
      </c>
    </row>
    <row r="331" spans="1:2" x14ac:dyDescent="0.3">
      <c r="A331">
        <f t="shared" si="10"/>
        <v>5.2540060699101443E-2</v>
      </c>
      <c r="B331">
        <f t="shared" si="11"/>
        <v>0.51993358416911084</v>
      </c>
    </row>
    <row r="332" spans="1:2" x14ac:dyDescent="0.3">
      <c r="A332">
        <f t="shared" si="10"/>
        <v>5.3056730461274793E-2</v>
      </c>
      <c r="B332">
        <f t="shared" si="11"/>
        <v>0.52150438049590564</v>
      </c>
    </row>
    <row r="333" spans="1:2" x14ac:dyDescent="0.3">
      <c r="A333">
        <f t="shared" si="10"/>
        <v>5.3577171583726657E-2</v>
      </c>
      <c r="B333">
        <f t="shared" si="11"/>
        <v>0.52307517682270055</v>
      </c>
    </row>
    <row r="334" spans="1:2" x14ac:dyDescent="0.3">
      <c r="A334">
        <f t="shared" si="10"/>
        <v>5.4101404643991935E-2</v>
      </c>
      <c r="B334">
        <f t="shared" si="11"/>
        <v>0.52464597314949546</v>
      </c>
    </row>
    <row r="335" spans="1:2" x14ac:dyDescent="0.3">
      <c r="A335">
        <f t="shared" si="10"/>
        <v>5.4629450331791229E-2</v>
      </c>
      <c r="B335">
        <f t="shared" si="11"/>
        <v>0.52621676947629037</v>
      </c>
    </row>
    <row r="336" spans="1:2" x14ac:dyDescent="0.3">
      <c r="A336">
        <f t="shared" si="10"/>
        <v>5.5161329449915697E-2</v>
      </c>
      <c r="B336">
        <f t="shared" si="11"/>
        <v>0.52778756580308528</v>
      </c>
    </row>
    <row r="337" spans="1:2" x14ac:dyDescent="0.3">
      <c r="A337">
        <f t="shared" si="10"/>
        <v>5.5697062915120554E-2</v>
      </c>
      <c r="B337">
        <f t="shared" si="11"/>
        <v>0.52935836212988019</v>
      </c>
    </row>
    <row r="338" spans="1:2" x14ac:dyDescent="0.3">
      <c r="A338">
        <f t="shared" si="10"/>
        <v>5.6236671759025803E-2</v>
      </c>
      <c r="B338">
        <f t="shared" si="11"/>
        <v>0.5309291584566751</v>
      </c>
    </row>
    <row r="339" spans="1:2" x14ac:dyDescent="0.3">
      <c r="A339">
        <f t="shared" si="10"/>
        <v>5.6780177129025833E-2</v>
      </c>
      <c r="B339">
        <f t="shared" si="11"/>
        <v>0.53249995478347001</v>
      </c>
    </row>
    <row r="340" spans="1:2" x14ac:dyDescent="0.3">
      <c r="A340">
        <f t="shared" si="10"/>
        <v>5.7327600289206249E-2</v>
      </c>
      <c r="B340">
        <f t="shared" si="11"/>
        <v>0.53407075111026492</v>
      </c>
    </row>
    <row r="341" spans="1:2" x14ac:dyDescent="0.3">
      <c r="A341">
        <f t="shared" si="10"/>
        <v>5.7878962621269459E-2</v>
      </c>
      <c r="B341">
        <f t="shared" si="11"/>
        <v>0.53564154743705972</v>
      </c>
    </row>
    <row r="342" spans="1:2" x14ac:dyDescent="0.3">
      <c r="A342">
        <f t="shared" si="10"/>
        <v>5.843428562546793E-2</v>
      </c>
      <c r="B342">
        <f t="shared" si="11"/>
        <v>0.53721234376385463</v>
      </c>
    </row>
    <row r="343" spans="1:2" x14ac:dyDescent="0.3">
      <c r="A343">
        <f t="shared" si="10"/>
        <v>5.8993590921546546E-2</v>
      </c>
      <c r="B343">
        <f t="shared" si="11"/>
        <v>0.53878314009064954</v>
      </c>
    </row>
    <row r="344" spans="1:2" x14ac:dyDescent="0.3">
      <c r="A344">
        <f t="shared" si="10"/>
        <v>5.9556900249692735E-2</v>
      </c>
      <c r="B344">
        <f t="shared" si="11"/>
        <v>0.54035393641744445</v>
      </c>
    </row>
    <row r="345" spans="1:2" x14ac:dyDescent="0.3">
      <c r="A345">
        <f t="shared" si="10"/>
        <v>6.012423547149548E-2</v>
      </c>
      <c r="B345">
        <f t="shared" si="11"/>
        <v>0.54192473274423936</v>
      </c>
    </row>
    <row r="346" spans="1:2" x14ac:dyDescent="0.3">
      <c r="A346">
        <f t="shared" si="10"/>
        <v>6.0695618570912657E-2</v>
      </c>
      <c r="B346">
        <f t="shared" si="11"/>
        <v>0.54349552907103427</v>
      </c>
    </row>
    <row r="347" spans="1:2" x14ac:dyDescent="0.3">
      <c r="A347">
        <f t="shared" si="10"/>
        <v>6.1271071655247478E-2</v>
      </c>
      <c r="B347">
        <f t="shared" si="11"/>
        <v>0.54506632539782918</v>
      </c>
    </row>
    <row r="348" spans="1:2" x14ac:dyDescent="0.3">
      <c r="A348">
        <f t="shared" si="10"/>
        <v>6.1850616956133586E-2</v>
      </c>
      <c r="B348">
        <f t="shared" si="11"/>
        <v>0.54663712172462409</v>
      </c>
    </row>
    <row r="349" spans="1:2" x14ac:dyDescent="0.3">
      <c r="A349">
        <f t="shared" si="10"/>
        <v>6.2434276830528823E-2</v>
      </c>
      <c r="B349">
        <f t="shared" si="11"/>
        <v>0.548207918051419</v>
      </c>
    </row>
    <row r="350" spans="1:2" x14ac:dyDescent="0.3">
      <c r="A350">
        <f t="shared" si="10"/>
        <v>6.30220737617182E-2</v>
      </c>
      <c r="B350">
        <f t="shared" si="11"/>
        <v>0.5497787143782138</v>
      </c>
    </row>
    <row r="351" spans="1:2" x14ac:dyDescent="0.3">
      <c r="A351">
        <f t="shared" si="10"/>
        <v>6.3614030360325868E-2</v>
      </c>
      <c r="B351">
        <f t="shared" si="11"/>
        <v>0.55134951070500871</v>
      </c>
    </row>
    <row r="352" spans="1:2" x14ac:dyDescent="0.3">
      <c r="A352">
        <f t="shared" si="10"/>
        <v>6.4210169365336633E-2</v>
      </c>
      <c r="B352">
        <f t="shared" si="11"/>
        <v>0.5529203070318035</v>
      </c>
    </row>
    <row r="353" spans="1:2" x14ac:dyDescent="0.3">
      <c r="A353">
        <f t="shared" si="10"/>
        <v>6.4810513645126133E-2</v>
      </c>
      <c r="B353">
        <f t="shared" si="11"/>
        <v>0.55449110335859841</v>
      </c>
    </row>
    <row r="354" spans="1:2" x14ac:dyDescent="0.3">
      <c r="A354">
        <f t="shared" si="10"/>
        <v>6.5415086198501005E-2</v>
      </c>
      <c r="B354">
        <f t="shared" si="11"/>
        <v>0.55606189968539332</v>
      </c>
    </row>
    <row r="355" spans="1:2" x14ac:dyDescent="0.3">
      <c r="A355">
        <f t="shared" si="10"/>
        <v>6.6023910155748045E-2</v>
      </c>
      <c r="B355">
        <f t="shared" si="11"/>
        <v>0.55763269601218823</v>
      </c>
    </row>
    <row r="356" spans="1:2" x14ac:dyDescent="0.3">
      <c r="A356">
        <f t="shared" si="10"/>
        <v>6.6637008779693474E-2</v>
      </c>
      <c r="B356">
        <f t="shared" si="11"/>
        <v>0.55920349233898314</v>
      </c>
    </row>
    <row r="357" spans="1:2" x14ac:dyDescent="0.3">
      <c r="A357">
        <f t="shared" si="10"/>
        <v>6.7254405466771638E-2</v>
      </c>
      <c r="B357">
        <f t="shared" si="11"/>
        <v>0.56077428866577805</v>
      </c>
    </row>
    <row r="358" spans="1:2" x14ac:dyDescent="0.3">
      <c r="A358">
        <f t="shared" si="10"/>
        <v>6.7876123748103367E-2</v>
      </c>
      <c r="B358">
        <f t="shared" si="11"/>
        <v>0.56234508499257296</v>
      </c>
    </row>
    <row r="359" spans="1:2" x14ac:dyDescent="0.3">
      <c r="A359">
        <f t="shared" si="10"/>
        <v>6.8502187290584771E-2</v>
      </c>
      <c r="B359">
        <f t="shared" si="11"/>
        <v>0.56391588131936787</v>
      </c>
    </row>
    <row r="360" spans="1:2" x14ac:dyDescent="0.3">
      <c r="A360">
        <f t="shared" si="10"/>
        <v>6.9132619897985359E-2</v>
      </c>
      <c r="B360">
        <f t="shared" si="11"/>
        <v>0.56548667764616278</v>
      </c>
    </row>
    <row r="361" spans="1:2" x14ac:dyDescent="0.3">
      <c r="A361">
        <f t="shared" si="10"/>
        <v>6.9767445512056825E-2</v>
      </c>
      <c r="B361">
        <f t="shared" si="11"/>
        <v>0.56705747397295769</v>
      </c>
    </row>
    <row r="362" spans="1:2" x14ac:dyDescent="0.3">
      <c r="A362">
        <f t="shared" si="10"/>
        <v>7.0406688213652258E-2</v>
      </c>
      <c r="B362">
        <f t="shared" si="11"/>
        <v>0.56862827029975249</v>
      </c>
    </row>
    <row r="363" spans="1:2" x14ac:dyDescent="0.3">
      <c r="A363">
        <f t="shared" si="10"/>
        <v>7.1050372223854907E-2</v>
      </c>
      <c r="B363">
        <f t="shared" si="11"/>
        <v>0.5701990666265474</v>
      </c>
    </row>
    <row r="364" spans="1:2" x14ac:dyDescent="0.3">
      <c r="A364">
        <f t="shared" si="10"/>
        <v>7.1698521905118384E-2</v>
      </c>
      <c r="B364">
        <f t="shared" si="11"/>
        <v>0.57176986295334231</v>
      </c>
    </row>
    <row r="365" spans="1:2" x14ac:dyDescent="0.3">
      <c r="A365">
        <f t="shared" si="10"/>
        <v>7.2351161762416738E-2</v>
      </c>
      <c r="B365">
        <f t="shared" si="11"/>
        <v>0.57334065928013722</v>
      </c>
    </row>
    <row r="366" spans="1:2" x14ac:dyDescent="0.3">
      <c r="A366">
        <f t="shared" si="10"/>
        <v>7.3008316444405308E-2</v>
      </c>
      <c r="B366">
        <f t="shared" si="11"/>
        <v>0.57491145560693213</v>
      </c>
    </row>
    <row r="367" spans="1:2" x14ac:dyDescent="0.3">
      <c r="A367">
        <f t="shared" si="10"/>
        <v>7.3670010744593561E-2</v>
      </c>
      <c r="B367">
        <f t="shared" si="11"/>
        <v>0.57648225193372704</v>
      </c>
    </row>
    <row r="368" spans="1:2" x14ac:dyDescent="0.3">
      <c r="A368">
        <f t="shared" si="10"/>
        <v>7.4336269602526928E-2</v>
      </c>
      <c r="B368">
        <f t="shared" si="11"/>
        <v>0.57805304826052195</v>
      </c>
    </row>
    <row r="369" spans="1:2" x14ac:dyDescent="0.3">
      <c r="A369">
        <f t="shared" si="10"/>
        <v>7.5007118104981063E-2</v>
      </c>
      <c r="B369">
        <f t="shared" si="11"/>
        <v>0.57962384458731686</v>
      </c>
    </row>
    <row r="370" spans="1:2" x14ac:dyDescent="0.3">
      <c r="A370">
        <f t="shared" si="10"/>
        <v>7.5682581487167666E-2</v>
      </c>
      <c r="B370">
        <f t="shared" si="11"/>
        <v>0.58119464091411177</v>
      </c>
    </row>
    <row r="371" spans="1:2" x14ac:dyDescent="0.3">
      <c r="A371">
        <f t="shared" si="10"/>
        <v>7.6362685133949726E-2</v>
      </c>
      <c r="B371">
        <f t="shared" si="11"/>
        <v>0.58276543724090657</v>
      </c>
    </row>
    <row r="372" spans="1:2" x14ac:dyDescent="0.3">
      <c r="A372">
        <f t="shared" si="10"/>
        <v>7.7047454581070873E-2</v>
      </c>
      <c r="B372">
        <f t="shared" si="11"/>
        <v>0.58433623356770148</v>
      </c>
    </row>
    <row r="373" spans="1:2" x14ac:dyDescent="0.3">
      <c r="A373">
        <f t="shared" si="10"/>
        <v>7.7736915516393834E-2</v>
      </c>
      <c r="B373">
        <f t="shared" si="11"/>
        <v>0.58590702989449639</v>
      </c>
    </row>
    <row r="374" spans="1:2" x14ac:dyDescent="0.3">
      <c r="A374">
        <f t="shared" si="10"/>
        <v>7.8431093781151873E-2</v>
      </c>
      <c r="B374">
        <f t="shared" si="11"/>
        <v>0.5874778262212913</v>
      </c>
    </row>
    <row r="375" spans="1:2" x14ac:dyDescent="0.3">
      <c r="A375">
        <f t="shared" si="10"/>
        <v>7.913001537121267E-2</v>
      </c>
      <c r="B375">
        <f t="shared" si="11"/>
        <v>0.58904862254808621</v>
      </c>
    </row>
    <row r="376" spans="1:2" x14ac:dyDescent="0.3">
      <c r="A376">
        <f t="shared" si="10"/>
        <v>7.9833706438352303E-2</v>
      </c>
      <c r="B376">
        <f t="shared" si="11"/>
        <v>0.59061941887488112</v>
      </c>
    </row>
    <row r="377" spans="1:2" x14ac:dyDescent="0.3">
      <c r="A377">
        <f t="shared" si="10"/>
        <v>8.0542193291543329E-2</v>
      </c>
      <c r="B377">
        <f t="shared" si="11"/>
        <v>0.59219021520167603</v>
      </c>
    </row>
    <row r="378" spans="1:2" x14ac:dyDescent="0.3">
      <c r="A378">
        <f t="shared" si="10"/>
        <v>8.1255502398253632E-2</v>
      </c>
      <c r="B378">
        <f t="shared" si="11"/>
        <v>0.59376101152847094</v>
      </c>
    </row>
    <row r="379" spans="1:2" x14ac:dyDescent="0.3">
      <c r="A379">
        <f t="shared" si="10"/>
        <v>8.1973660385758707E-2</v>
      </c>
      <c r="B379">
        <f t="shared" si="11"/>
        <v>0.59533180785526585</v>
      </c>
    </row>
    <row r="380" spans="1:2" x14ac:dyDescent="0.3">
      <c r="A380">
        <f t="shared" si="10"/>
        <v>8.2696694042465824E-2</v>
      </c>
      <c r="B380">
        <f t="shared" si="11"/>
        <v>0.59690260418206065</v>
      </c>
    </row>
    <row r="381" spans="1:2" x14ac:dyDescent="0.3">
      <c r="A381">
        <f t="shared" si="10"/>
        <v>8.3424630319251181E-2</v>
      </c>
      <c r="B381">
        <f t="shared" si="11"/>
        <v>0.59847340050885556</v>
      </c>
    </row>
    <row r="382" spans="1:2" x14ac:dyDescent="0.3">
      <c r="A382">
        <f t="shared" si="10"/>
        <v>8.4157496330809933E-2</v>
      </c>
      <c r="B382">
        <f t="shared" si="11"/>
        <v>0.60004419683565047</v>
      </c>
    </row>
    <row r="383" spans="1:2" x14ac:dyDescent="0.3">
      <c r="A383">
        <f t="shared" si="10"/>
        <v>8.489531935701855E-2</v>
      </c>
      <c r="B383">
        <f t="shared" si="11"/>
        <v>0.60161499316244538</v>
      </c>
    </row>
    <row r="384" spans="1:2" x14ac:dyDescent="0.3">
      <c r="A384">
        <f t="shared" si="10"/>
        <v>8.5638126844311491E-2</v>
      </c>
      <c r="B384">
        <f t="shared" si="11"/>
        <v>0.60318578948924029</v>
      </c>
    </row>
    <row r="385" spans="1:2" x14ac:dyDescent="0.3">
      <c r="A385">
        <f t="shared" si="10"/>
        <v>8.6385946407069869E-2</v>
      </c>
      <c r="B385">
        <f t="shared" si="11"/>
        <v>0.6047565858160352</v>
      </c>
    </row>
    <row r="386" spans="1:2" x14ac:dyDescent="0.3">
      <c r="A386">
        <f t="shared" ref="A386:A449" si="12">TAN(B386)-B386</f>
        <v>8.7138805829024446E-2</v>
      </c>
      <c r="B386">
        <f t="shared" ref="B386:B449" si="13">ROW()*0.001*PI()/2</f>
        <v>0.60632738214283011</v>
      </c>
    </row>
    <row r="387" spans="1:2" x14ac:dyDescent="0.3">
      <c r="A387">
        <f t="shared" si="12"/>
        <v>8.7896733064671606E-2</v>
      </c>
      <c r="B387">
        <f t="shared" si="13"/>
        <v>0.60789817846962502</v>
      </c>
    </row>
    <row r="388" spans="1:2" x14ac:dyDescent="0.3">
      <c r="A388">
        <f t="shared" si="12"/>
        <v>8.8659756240703769E-2</v>
      </c>
      <c r="B388">
        <f t="shared" si="13"/>
        <v>0.60946897479641993</v>
      </c>
    </row>
    <row r="389" spans="1:2" x14ac:dyDescent="0.3">
      <c r="A389">
        <f t="shared" si="12"/>
        <v>8.9427903657452568E-2</v>
      </c>
      <c r="B389">
        <f t="shared" si="13"/>
        <v>0.61103977112321473</v>
      </c>
    </row>
    <row r="390" spans="1:2" x14ac:dyDescent="0.3">
      <c r="A390">
        <f t="shared" si="12"/>
        <v>9.0201203790347684E-2</v>
      </c>
      <c r="B390">
        <f t="shared" si="13"/>
        <v>0.61261056745000964</v>
      </c>
    </row>
    <row r="391" spans="1:2" x14ac:dyDescent="0.3">
      <c r="A391">
        <f t="shared" si="12"/>
        <v>9.097968529138778E-2</v>
      </c>
      <c r="B391">
        <f t="shared" si="13"/>
        <v>0.61418136377680455</v>
      </c>
    </row>
    <row r="392" spans="1:2" x14ac:dyDescent="0.3">
      <c r="A392">
        <f t="shared" si="12"/>
        <v>9.1763376990627976E-2</v>
      </c>
      <c r="B392">
        <f t="shared" si="13"/>
        <v>0.61575216010359946</v>
      </c>
    </row>
    <row r="393" spans="1:2" x14ac:dyDescent="0.3">
      <c r="A393">
        <f t="shared" si="12"/>
        <v>9.255230789768043E-2</v>
      </c>
      <c r="B393">
        <f t="shared" si="13"/>
        <v>0.61732295643039437</v>
      </c>
    </row>
    <row r="394" spans="1:2" x14ac:dyDescent="0.3">
      <c r="A394">
        <f t="shared" si="12"/>
        <v>9.3346507203230122E-2</v>
      </c>
      <c r="B394">
        <f t="shared" si="13"/>
        <v>0.61889375275718927</v>
      </c>
    </row>
    <row r="395" spans="1:2" x14ac:dyDescent="0.3">
      <c r="A395">
        <f t="shared" si="12"/>
        <v>9.414600428056541E-2</v>
      </c>
      <c r="B395">
        <f t="shared" si="13"/>
        <v>0.62046454908398418</v>
      </c>
    </row>
    <row r="396" spans="1:2" x14ac:dyDescent="0.3">
      <c r="A396">
        <f t="shared" si="12"/>
        <v>9.49508286871239E-2</v>
      </c>
      <c r="B396">
        <f t="shared" si="13"/>
        <v>0.62203534541077909</v>
      </c>
    </row>
    <row r="397" spans="1:2" x14ac:dyDescent="0.3">
      <c r="A397">
        <f t="shared" si="12"/>
        <v>9.5761010166053095E-2</v>
      </c>
      <c r="B397">
        <f t="shared" si="13"/>
        <v>0.623606141737574</v>
      </c>
    </row>
    <row r="398" spans="1:2" x14ac:dyDescent="0.3">
      <c r="A398">
        <f t="shared" si="12"/>
        <v>9.6576578647786904E-2</v>
      </c>
      <c r="B398">
        <f t="shared" si="13"/>
        <v>0.62517693806436891</v>
      </c>
    </row>
    <row r="399" spans="1:2" x14ac:dyDescent="0.3">
      <c r="A399">
        <f t="shared" si="12"/>
        <v>9.7397564251637259E-2</v>
      </c>
      <c r="B399">
        <f t="shared" si="13"/>
        <v>0.62674773439116371</v>
      </c>
    </row>
    <row r="400" spans="1:2" x14ac:dyDescent="0.3">
      <c r="A400">
        <f t="shared" si="12"/>
        <v>9.8223997287402276E-2</v>
      </c>
      <c r="B400">
        <f t="shared" si="13"/>
        <v>0.62831853071795862</v>
      </c>
    </row>
    <row r="401" spans="1:2" x14ac:dyDescent="0.3">
      <c r="A401">
        <f t="shared" si="12"/>
        <v>9.9055908256988956E-2</v>
      </c>
      <c r="B401">
        <f t="shared" si="13"/>
        <v>0.62988932704475353</v>
      </c>
    </row>
    <row r="402" spans="1:2" x14ac:dyDescent="0.3">
      <c r="A402">
        <f t="shared" si="12"/>
        <v>9.9893327856054093E-2</v>
      </c>
      <c r="B402">
        <f t="shared" si="13"/>
        <v>0.63146012337154844</v>
      </c>
    </row>
    <row r="403" spans="1:2" x14ac:dyDescent="0.3">
      <c r="A403">
        <f t="shared" si="12"/>
        <v>0.10073628697565928</v>
      </c>
      <c r="B403">
        <f t="shared" si="13"/>
        <v>0.63303091969834335</v>
      </c>
    </row>
    <row r="404" spans="1:2" x14ac:dyDescent="0.3">
      <c r="A404">
        <f t="shared" si="12"/>
        <v>0.10158481670394448</v>
      </c>
      <c r="B404">
        <f t="shared" si="13"/>
        <v>0.63460171602513826</v>
      </c>
    </row>
    <row r="405" spans="1:2" x14ac:dyDescent="0.3">
      <c r="A405">
        <f t="shared" si="12"/>
        <v>0.10243894832781641</v>
      </c>
      <c r="B405">
        <f t="shared" si="13"/>
        <v>0.63617251235193317</v>
      </c>
    </row>
    <row r="406" spans="1:2" x14ac:dyDescent="0.3">
      <c r="A406">
        <f t="shared" si="12"/>
        <v>0.10329871333465546</v>
      </c>
      <c r="B406">
        <f t="shared" si="13"/>
        <v>0.63774330867872808</v>
      </c>
    </row>
    <row r="407" spans="1:2" x14ac:dyDescent="0.3">
      <c r="A407">
        <f t="shared" si="12"/>
        <v>0.10416414341403901</v>
      </c>
      <c r="B407">
        <f t="shared" si="13"/>
        <v>0.63931410500552299</v>
      </c>
    </row>
    <row r="408" spans="1:2" x14ac:dyDescent="0.3">
      <c r="A408">
        <f t="shared" si="12"/>
        <v>0.10503527045948147</v>
      </c>
      <c r="B408">
        <f t="shared" si="13"/>
        <v>0.64088490133231779</v>
      </c>
    </row>
    <row r="409" spans="1:2" x14ac:dyDescent="0.3">
      <c r="A409">
        <f t="shared" si="12"/>
        <v>0.10591212657019355</v>
      </c>
      <c r="B409">
        <f t="shared" si="13"/>
        <v>0.6424556976591127</v>
      </c>
    </row>
    <row r="410" spans="1:2" x14ac:dyDescent="0.3">
      <c r="A410">
        <f t="shared" si="12"/>
        <v>0.10679474405285705</v>
      </c>
      <c r="B410">
        <f t="shared" si="13"/>
        <v>0.64402649398590761</v>
      </c>
    </row>
    <row r="411" spans="1:2" x14ac:dyDescent="0.3">
      <c r="A411">
        <f t="shared" si="12"/>
        <v>0.10768315542341966</v>
      </c>
      <c r="B411">
        <f t="shared" si="13"/>
        <v>0.64559729031270252</v>
      </c>
    </row>
    <row r="412" spans="1:2" x14ac:dyDescent="0.3">
      <c r="A412">
        <f t="shared" si="12"/>
        <v>0.10857739340890649</v>
      </c>
      <c r="B412">
        <f t="shared" si="13"/>
        <v>0.64716808663949743</v>
      </c>
    </row>
    <row r="413" spans="1:2" x14ac:dyDescent="0.3">
      <c r="A413">
        <f t="shared" si="12"/>
        <v>0.10947749094925086</v>
      </c>
      <c r="B413">
        <f t="shared" si="13"/>
        <v>0.64873888296629234</v>
      </c>
    </row>
    <row r="414" spans="1:2" x14ac:dyDescent="0.3">
      <c r="A414">
        <f t="shared" si="12"/>
        <v>0.11038348119914265</v>
      </c>
      <c r="B414">
        <f t="shared" si="13"/>
        <v>0.65030967929308725</v>
      </c>
    </row>
    <row r="415" spans="1:2" x14ac:dyDescent="0.3">
      <c r="A415">
        <f t="shared" si="12"/>
        <v>0.11129539752989726</v>
      </c>
      <c r="B415">
        <f t="shared" si="13"/>
        <v>0.65188047561988216</v>
      </c>
    </row>
    <row r="416" spans="1:2" x14ac:dyDescent="0.3">
      <c r="A416">
        <f t="shared" si="12"/>
        <v>0.11221327353134136</v>
      </c>
      <c r="B416">
        <f t="shared" si="13"/>
        <v>0.65345127194667707</v>
      </c>
    </row>
    <row r="417" spans="1:2" x14ac:dyDescent="0.3">
      <c r="A417">
        <f t="shared" si="12"/>
        <v>0.1131371430137198</v>
      </c>
      <c r="B417">
        <f t="shared" si="13"/>
        <v>0.65502206827347187</v>
      </c>
    </row>
    <row r="418" spans="1:2" x14ac:dyDescent="0.3">
      <c r="A418">
        <f t="shared" si="12"/>
        <v>0.11406704000962109</v>
      </c>
      <c r="B418">
        <f t="shared" si="13"/>
        <v>0.65659286460026678</v>
      </c>
    </row>
    <row r="419" spans="1:2" x14ac:dyDescent="0.3">
      <c r="A419">
        <f t="shared" si="12"/>
        <v>0.11500299877592257</v>
      </c>
      <c r="B419">
        <f t="shared" si="13"/>
        <v>0.65816366092706158</v>
      </c>
    </row>
    <row r="420" spans="1:2" x14ac:dyDescent="0.3">
      <c r="A420">
        <f t="shared" si="12"/>
        <v>0.11594505379575648</v>
      </c>
      <c r="B420">
        <f t="shared" si="13"/>
        <v>0.65973445725385649</v>
      </c>
    </row>
    <row r="421" spans="1:2" x14ac:dyDescent="0.3">
      <c r="A421">
        <f t="shared" si="12"/>
        <v>0.11689323978049471</v>
      </c>
      <c r="B421">
        <f t="shared" si="13"/>
        <v>0.6613052535806514</v>
      </c>
    </row>
    <row r="422" spans="1:2" x14ac:dyDescent="0.3">
      <c r="A422">
        <f t="shared" si="12"/>
        <v>0.11784759167175562</v>
      </c>
      <c r="B422">
        <f t="shared" si="13"/>
        <v>0.66287604990744631</v>
      </c>
    </row>
    <row r="423" spans="1:2" x14ac:dyDescent="0.3">
      <c r="A423">
        <f t="shared" si="12"/>
        <v>0.11880814464343059</v>
      </c>
      <c r="B423">
        <f t="shared" si="13"/>
        <v>0.66444684623424122</v>
      </c>
    </row>
    <row r="424" spans="1:2" x14ac:dyDescent="0.3">
      <c r="A424">
        <f t="shared" si="12"/>
        <v>0.11977493410373186</v>
      </c>
      <c r="B424">
        <f t="shared" si="13"/>
        <v>0.66601764256103613</v>
      </c>
    </row>
    <row r="425" spans="1:2" x14ac:dyDescent="0.3">
      <c r="A425">
        <f t="shared" si="12"/>
        <v>0.12074799569726147</v>
      </c>
      <c r="B425">
        <f t="shared" si="13"/>
        <v>0.66758843888783104</v>
      </c>
    </row>
    <row r="426" spans="1:2" x14ac:dyDescent="0.3">
      <c r="A426">
        <f t="shared" si="12"/>
        <v>0.12172736530710193</v>
      </c>
      <c r="B426">
        <f t="shared" si="13"/>
        <v>0.66915923521462595</v>
      </c>
    </row>
    <row r="427" spans="1:2" x14ac:dyDescent="0.3">
      <c r="A427">
        <f t="shared" si="12"/>
        <v>0.12271307905692874</v>
      </c>
      <c r="B427">
        <f t="shared" si="13"/>
        <v>0.67073003154142086</v>
      </c>
    </row>
    <row r="428" spans="1:2" x14ac:dyDescent="0.3">
      <c r="A428">
        <f t="shared" si="12"/>
        <v>0.1237051733131439</v>
      </c>
      <c r="B428">
        <f t="shared" si="13"/>
        <v>0.67230082786821577</v>
      </c>
    </row>
    <row r="429" spans="1:2" x14ac:dyDescent="0.3">
      <c r="A429">
        <f t="shared" si="12"/>
        <v>0.1247036846870333</v>
      </c>
      <c r="B429">
        <f t="shared" si="13"/>
        <v>0.67387162419501057</v>
      </c>
    </row>
    <row r="430" spans="1:2" x14ac:dyDescent="0.3">
      <c r="A430">
        <f t="shared" si="12"/>
        <v>0.12570865003694565</v>
      </c>
      <c r="B430">
        <f t="shared" si="13"/>
        <v>0.67544242052180548</v>
      </c>
    </row>
    <row r="431" spans="1:2" x14ac:dyDescent="0.3">
      <c r="A431">
        <f t="shared" si="12"/>
        <v>0.12672010647049425</v>
      </c>
      <c r="B431">
        <f t="shared" si="13"/>
        <v>0.67701321684860039</v>
      </c>
    </row>
    <row r="432" spans="1:2" x14ac:dyDescent="0.3">
      <c r="A432">
        <f t="shared" si="12"/>
        <v>0.12773809134678238</v>
      </c>
      <c r="B432">
        <f t="shared" si="13"/>
        <v>0.6785840131753953</v>
      </c>
    </row>
    <row r="433" spans="1:2" x14ac:dyDescent="0.3">
      <c r="A433">
        <f t="shared" si="12"/>
        <v>0.12876264227865142</v>
      </c>
      <c r="B433">
        <f t="shared" si="13"/>
        <v>0.68015480950219021</v>
      </c>
    </row>
    <row r="434" spans="1:2" x14ac:dyDescent="0.3">
      <c r="A434">
        <f t="shared" si="12"/>
        <v>0.12979379713495387</v>
      </c>
      <c r="B434">
        <f t="shared" si="13"/>
        <v>0.68172560582898512</v>
      </c>
    </row>
    <row r="435" spans="1:2" x14ac:dyDescent="0.3">
      <c r="A435">
        <f t="shared" si="12"/>
        <v>0.13083159404284872</v>
      </c>
      <c r="B435">
        <f t="shared" si="13"/>
        <v>0.68329640215578002</v>
      </c>
    </row>
    <row r="436" spans="1:2" x14ac:dyDescent="0.3">
      <c r="A436">
        <f t="shared" si="12"/>
        <v>0.13187607139012247</v>
      </c>
      <c r="B436">
        <f t="shared" si="13"/>
        <v>0.68486719848257493</v>
      </c>
    </row>
    <row r="437" spans="1:2" x14ac:dyDescent="0.3">
      <c r="A437">
        <f t="shared" si="12"/>
        <v>0.13292726782753406</v>
      </c>
      <c r="B437">
        <f t="shared" si="13"/>
        <v>0.68643799480936984</v>
      </c>
    </row>
    <row r="438" spans="1:2" x14ac:dyDescent="0.3">
      <c r="A438">
        <f t="shared" si="12"/>
        <v>0.13398522227118503</v>
      </c>
      <c r="B438">
        <f t="shared" si="13"/>
        <v>0.68800879113616464</v>
      </c>
    </row>
    <row r="439" spans="1:2" x14ac:dyDescent="0.3">
      <c r="A439">
        <f t="shared" si="12"/>
        <v>0.1350499739049148</v>
      </c>
      <c r="B439">
        <f t="shared" si="13"/>
        <v>0.68957958746295955</v>
      </c>
    </row>
    <row r="440" spans="1:2" x14ac:dyDescent="0.3">
      <c r="A440">
        <f t="shared" si="12"/>
        <v>0.13612156218272109</v>
      </c>
      <c r="B440">
        <f t="shared" si="13"/>
        <v>0.69115038378975446</v>
      </c>
    </row>
    <row r="441" spans="1:2" x14ac:dyDescent="0.3">
      <c r="A441">
        <f t="shared" si="12"/>
        <v>0.13720002683120691</v>
      </c>
      <c r="B441">
        <f t="shared" si="13"/>
        <v>0.69272118011654937</v>
      </c>
    </row>
    <row r="442" spans="1:2" x14ac:dyDescent="0.3">
      <c r="A442">
        <f t="shared" si="12"/>
        <v>0.13828540785205323</v>
      </c>
      <c r="B442">
        <f t="shared" si="13"/>
        <v>0.69429197644334428</v>
      </c>
    </row>
    <row r="443" spans="1:2" x14ac:dyDescent="0.3">
      <c r="A443">
        <f t="shared" si="12"/>
        <v>0.13937774552451832</v>
      </c>
      <c r="B443">
        <f t="shared" si="13"/>
        <v>0.69586277277013919</v>
      </c>
    </row>
    <row r="444" spans="1:2" x14ac:dyDescent="0.3">
      <c r="A444">
        <f t="shared" si="12"/>
        <v>0.14047708040796369</v>
      </c>
      <c r="B444">
        <f t="shared" si="13"/>
        <v>0.6974335690969341</v>
      </c>
    </row>
    <row r="445" spans="1:2" x14ac:dyDescent="0.3">
      <c r="A445">
        <f t="shared" si="12"/>
        <v>0.14158345334440781</v>
      </c>
      <c r="B445">
        <f t="shared" si="13"/>
        <v>0.69900436542372901</v>
      </c>
    </row>
    <row r="446" spans="1:2" x14ac:dyDescent="0.3">
      <c r="A446">
        <f t="shared" si="12"/>
        <v>0.14269690546110658</v>
      </c>
      <c r="B446">
        <f t="shared" si="13"/>
        <v>0.70057516175052392</v>
      </c>
    </row>
    <row r="447" spans="1:2" x14ac:dyDescent="0.3">
      <c r="A447">
        <f t="shared" si="12"/>
        <v>0.14381747817316204</v>
      </c>
      <c r="B447">
        <f t="shared" si="13"/>
        <v>0.70214595807731872</v>
      </c>
    </row>
    <row r="448" spans="1:2" x14ac:dyDescent="0.3">
      <c r="A448">
        <f t="shared" si="12"/>
        <v>0.14494521318616005</v>
      </c>
      <c r="B448">
        <f t="shared" si="13"/>
        <v>0.70371675440411363</v>
      </c>
    </row>
    <row r="449" spans="1:2" x14ac:dyDescent="0.3">
      <c r="A449">
        <f t="shared" si="12"/>
        <v>0.14608015249883455</v>
      </c>
      <c r="B449">
        <f t="shared" si="13"/>
        <v>0.70528755073090854</v>
      </c>
    </row>
    <row r="450" spans="1:2" x14ac:dyDescent="0.3">
      <c r="A450">
        <f t="shared" ref="A450:A513" si="14">TAN(B450)-B450</f>
        <v>0.14722233840576315</v>
      </c>
      <c r="B450">
        <f t="shared" ref="B450:B513" si="15">ROW()*0.001*PI()/2</f>
        <v>0.70685834705770345</v>
      </c>
    </row>
    <row r="451" spans="1:2" x14ac:dyDescent="0.3">
      <c r="A451">
        <f t="shared" si="14"/>
        <v>0.14837181350009032</v>
      </c>
      <c r="B451">
        <f t="shared" si="15"/>
        <v>0.70842914338449836</v>
      </c>
    </row>
    <row r="452" spans="1:2" x14ac:dyDescent="0.3">
      <c r="A452">
        <f t="shared" si="14"/>
        <v>0.14952862067628114</v>
      </c>
      <c r="B452">
        <f t="shared" si="15"/>
        <v>0.70999993971129327</v>
      </c>
    </row>
    <row r="453" spans="1:2" x14ac:dyDescent="0.3">
      <c r="A453">
        <f t="shared" si="14"/>
        <v>0.1506928031329049</v>
      </c>
      <c r="B453">
        <f t="shared" si="15"/>
        <v>0.71157073603808818</v>
      </c>
    </row>
    <row r="454" spans="1:2" x14ac:dyDescent="0.3">
      <c r="A454">
        <f t="shared" si="14"/>
        <v>0.15186440437544879</v>
      </c>
      <c r="B454">
        <f t="shared" si="15"/>
        <v>0.71314153236488309</v>
      </c>
    </row>
    <row r="455" spans="1:2" x14ac:dyDescent="0.3">
      <c r="A455">
        <f t="shared" si="14"/>
        <v>0.15304346821916337</v>
      </c>
      <c r="B455">
        <f t="shared" si="15"/>
        <v>0.714712328691678</v>
      </c>
    </row>
    <row r="456" spans="1:2" x14ac:dyDescent="0.3">
      <c r="A456">
        <f t="shared" si="14"/>
        <v>0.15423003879193797</v>
      </c>
      <c r="B456">
        <f t="shared" si="15"/>
        <v>0.71628312501847291</v>
      </c>
    </row>
    <row r="457" spans="1:2" x14ac:dyDescent="0.3">
      <c r="A457">
        <f t="shared" si="14"/>
        <v>0.15542416053720909</v>
      </c>
      <c r="B457">
        <f t="shared" si="15"/>
        <v>0.71785392134526771</v>
      </c>
    </row>
    <row r="458" spans="1:2" x14ac:dyDescent="0.3">
      <c r="A458">
        <f t="shared" si="14"/>
        <v>0.15662587821690033</v>
      </c>
      <c r="B458">
        <f t="shared" si="15"/>
        <v>0.71942471767206262</v>
      </c>
    </row>
    <row r="459" spans="1:2" x14ac:dyDescent="0.3">
      <c r="A459">
        <f t="shared" si="14"/>
        <v>0.15783523691439383</v>
      </c>
      <c r="B459">
        <f t="shared" si="15"/>
        <v>0.72099551399885753</v>
      </c>
    </row>
    <row r="460" spans="1:2" x14ac:dyDescent="0.3">
      <c r="A460">
        <f t="shared" si="14"/>
        <v>0.15905228203753663</v>
      </c>
      <c r="B460">
        <f t="shared" si="15"/>
        <v>0.72256631032565244</v>
      </c>
    </row>
    <row r="461" spans="1:2" x14ac:dyDescent="0.3">
      <c r="A461">
        <f t="shared" si="14"/>
        <v>0.16027705932167846</v>
      </c>
      <c r="B461">
        <f t="shared" si="15"/>
        <v>0.72413710665244735</v>
      </c>
    </row>
    <row r="462" spans="1:2" x14ac:dyDescent="0.3">
      <c r="A462">
        <f t="shared" si="14"/>
        <v>0.16150961483274429</v>
      </c>
      <c r="B462">
        <f t="shared" si="15"/>
        <v>0.72570790297924226</v>
      </c>
    </row>
    <row r="463" spans="1:2" x14ac:dyDescent="0.3">
      <c r="A463">
        <f t="shared" si="14"/>
        <v>0.16274999497034115</v>
      </c>
      <c r="B463">
        <f t="shared" si="15"/>
        <v>0.72727869930603717</v>
      </c>
    </row>
    <row r="464" spans="1:2" x14ac:dyDescent="0.3">
      <c r="A464">
        <f t="shared" si="14"/>
        <v>0.16399824647089867</v>
      </c>
      <c r="B464">
        <f t="shared" si="15"/>
        <v>0.72884949563283208</v>
      </c>
    </row>
    <row r="465" spans="1:2" x14ac:dyDescent="0.3">
      <c r="A465">
        <f t="shared" si="14"/>
        <v>0.16525441641084604</v>
      </c>
      <c r="B465">
        <f t="shared" si="15"/>
        <v>0.73042029195962699</v>
      </c>
    </row>
    <row r="466" spans="1:2" x14ac:dyDescent="0.3">
      <c r="A466">
        <f t="shared" si="14"/>
        <v>0.16651855220982348</v>
      </c>
      <c r="B466">
        <f t="shared" si="15"/>
        <v>0.73199108828642179</v>
      </c>
    </row>
    <row r="467" spans="1:2" x14ac:dyDescent="0.3">
      <c r="A467">
        <f t="shared" si="14"/>
        <v>0.16779070163393039</v>
      </c>
      <c r="B467">
        <f t="shared" si="15"/>
        <v>0.7335618846132167</v>
      </c>
    </row>
    <row r="468" spans="1:2" x14ac:dyDescent="0.3">
      <c r="A468">
        <f t="shared" si="14"/>
        <v>0.16907091279900921</v>
      </c>
      <c r="B468">
        <f t="shared" si="15"/>
        <v>0.73513268094001161</v>
      </c>
    </row>
    <row r="469" spans="1:2" x14ac:dyDescent="0.3">
      <c r="A469">
        <f t="shared" si="14"/>
        <v>0.17035923417396737</v>
      </c>
      <c r="B469">
        <f t="shared" si="15"/>
        <v>0.73670347726680652</v>
      </c>
    </row>
    <row r="470" spans="1:2" x14ac:dyDescent="0.3">
      <c r="A470">
        <f t="shared" si="14"/>
        <v>0.17165571458413609</v>
      </c>
      <c r="B470">
        <f t="shared" si="15"/>
        <v>0.73827427359360143</v>
      </c>
    </row>
    <row r="471" spans="1:2" x14ac:dyDescent="0.3">
      <c r="A471">
        <f t="shared" si="14"/>
        <v>0.17296040321466677</v>
      </c>
      <c r="B471">
        <f t="shared" si="15"/>
        <v>0.73984506992039634</v>
      </c>
    </row>
    <row r="472" spans="1:2" x14ac:dyDescent="0.3">
      <c r="A472">
        <f t="shared" si="14"/>
        <v>0.17427334961396679</v>
      </c>
      <c r="B472">
        <f t="shared" si="15"/>
        <v>0.74141586624719125</v>
      </c>
    </row>
    <row r="473" spans="1:2" x14ac:dyDescent="0.3">
      <c r="A473">
        <f t="shared" si="14"/>
        <v>0.17559460369717372</v>
      </c>
      <c r="B473">
        <f t="shared" si="15"/>
        <v>0.74298666257398616</v>
      </c>
    </row>
    <row r="474" spans="1:2" x14ac:dyDescent="0.3">
      <c r="A474">
        <f t="shared" si="14"/>
        <v>0.17692421574966877</v>
      </c>
      <c r="B474">
        <f t="shared" si="15"/>
        <v>0.74455745890078107</v>
      </c>
    </row>
    <row r="475" spans="1:2" x14ac:dyDescent="0.3">
      <c r="A475">
        <f t="shared" si="14"/>
        <v>0.1782622364306311</v>
      </c>
      <c r="B475">
        <f t="shared" si="15"/>
        <v>0.74612825522757587</v>
      </c>
    </row>
    <row r="476" spans="1:2" x14ac:dyDescent="0.3">
      <c r="A476">
        <f t="shared" si="14"/>
        <v>0.17960871677663237</v>
      </c>
      <c r="B476">
        <f t="shared" si="15"/>
        <v>0.74769905155437077</v>
      </c>
    </row>
    <row r="477" spans="1:2" x14ac:dyDescent="0.3">
      <c r="A477">
        <f t="shared" si="14"/>
        <v>0.18096370820527152</v>
      </c>
      <c r="B477">
        <f t="shared" si="15"/>
        <v>0.74926984788116568</v>
      </c>
    </row>
    <row r="478" spans="1:2" x14ac:dyDescent="0.3">
      <c r="A478">
        <f t="shared" si="14"/>
        <v>0.18232726251885267</v>
      </c>
      <c r="B478">
        <f t="shared" si="15"/>
        <v>0.75084064420796059</v>
      </c>
    </row>
    <row r="479" spans="1:2" x14ac:dyDescent="0.3">
      <c r="A479">
        <f t="shared" si="14"/>
        <v>0.18369943190810445</v>
      </c>
      <c r="B479">
        <f t="shared" si="15"/>
        <v>0.7524114405347555</v>
      </c>
    </row>
    <row r="480" spans="1:2" x14ac:dyDescent="0.3">
      <c r="A480">
        <f t="shared" si="14"/>
        <v>0.18508026895594187</v>
      </c>
      <c r="B480">
        <f t="shared" si="15"/>
        <v>0.7539822368615503</v>
      </c>
    </row>
    <row r="481" spans="1:2" x14ac:dyDescent="0.3">
      <c r="A481">
        <f t="shared" si="14"/>
        <v>0.18646982664127276</v>
      </c>
      <c r="B481">
        <f t="shared" si="15"/>
        <v>0.75555303318834521</v>
      </c>
    </row>
    <row r="482" spans="1:2" x14ac:dyDescent="0.3">
      <c r="A482">
        <f t="shared" si="14"/>
        <v>0.18786815834284631</v>
      </c>
      <c r="B482">
        <f t="shared" si="15"/>
        <v>0.75712382951514012</v>
      </c>
    </row>
    <row r="483" spans="1:2" x14ac:dyDescent="0.3">
      <c r="A483">
        <f t="shared" si="14"/>
        <v>0.18927531784314788</v>
      </c>
      <c r="B483">
        <f t="shared" si="15"/>
        <v>0.75869462584193503</v>
      </c>
    </row>
    <row r="484" spans="1:2" x14ac:dyDescent="0.3">
      <c r="A484">
        <f t="shared" si="14"/>
        <v>0.19069135933233827</v>
      </c>
      <c r="B484">
        <f t="shared" si="15"/>
        <v>0.76026542216872994</v>
      </c>
    </row>
    <row r="485" spans="1:2" x14ac:dyDescent="0.3">
      <c r="A485">
        <f t="shared" si="14"/>
        <v>0.19211633741223844</v>
      </c>
      <c r="B485">
        <f t="shared" si="15"/>
        <v>0.76183621849552485</v>
      </c>
    </row>
    <row r="486" spans="1:2" x14ac:dyDescent="0.3">
      <c r="A486">
        <f t="shared" si="14"/>
        <v>0.19355030710036136</v>
      </c>
      <c r="B486">
        <f t="shared" si="15"/>
        <v>0.76340701482231976</v>
      </c>
    </row>
    <row r="487" spans="1:2" x14ac:dyDescent="0.3">
      <c r="A487">
        <f t="shared" si="14"/>
        <v>0.19499332383399048</v>
      </c>
      <c r="B487">
        <f t="shared" si="15"/>
        <v>0.76497781114911456</v>
      </c>
    </row>
    <row r="488" spans="1:2" x14ac:dyDescent="0.3">
      <c r="A488">
        <f t="shared" si="14"/>
        <v>0.1964454434743057</v>
      </c>
      <c r="B488">
        <f t="shared" si="15"/>
        <v>0.76654860747590947</v>
      </c>
    </row>
    <row r="489" spans="1:2" x14ac:dyDescent="0.3">
      <c r="A489">
        <f t="shared" si="14"/>
        <v>0.19790672231055828</v>
      </c>
      <c r="B489">
        <f t="shared" si="15"/>
        <v>0.76811940380270438</v>
      </c>
    </row>
    <row r="490" spans="1:2" x14ac:dyDescent="0.3">
      <c r="A490">
        <f t="shared" si="14"/>
        <v>0.1993772170642939</v>
      </c>
      <c r="B490">
        <f t="shared" si="15"/>
        <v>0.76969020012949929</v>
      </c>
    </row>
    <row r="491" spans="1:2" x14ac:dyDescent="0.3">
      <c r="A491">
        <f t="shared" si="14"/>
        <v>0.20085698489362613</v>
      </c>
      <c r="B491">
        <f t="shared" si="15"/>
        <v>0.7712609964562942</v>
      </c>
    </row>
    <row r="492" spans="1:2" x14ac:dyDescent="0.3">
      <c r="A492">
        <f t="shared" si="14"/>
        <v>0.20234608339755999</v>
      </c>
      <c r="B492">
        <f t="shared" si="15"/>
        <v>0.77283179278308911</v>
      </c>
    </row>
    <row r="493" spans="1:2" x14ac:dyDescent="0.3">
      <c r="A493">
        <f t="shared" si="14"/>
        <v>0.20384457062036654</v>
      </c>
      <c r="B493">
        <f t="shared" si="15"/>
        <v>0.77440258910988402</v>
      </c>
    </row>
    <row r="494" spans="1:2" x14ac:dyDescent="0.3">
      <c r="A494">
        <f t="shared" si="14"/>
        <v>0.20535250505600944</v>
      </c>
      <c r="B494">
        <f t="shared" si="15"/>
        <v>0.77597338543667893</v>
      </c>
    </row>
    <row r="495" spans="1:2" x14ac:dyDescent="0.3">
      <c r="A495">
        <f t="shared" si="14"/>
        <v>0.20686994565262307</v>
      </c>
      <c r="B495">
        <f t="shared" si="15"/>
        <v>0.77754418176347384</v>
      </c>
    </row>
    <row r="496" spans="1:2" x14ac:dyDescent="0.3">
      <c r="A496">
        <f t="shared" si="14"/>
        <v>0.20839695181704554</v>
      </c>
      <c r="B496">
        <f t="shared" si="15"/>
        <v>0.77911497809026864</v>
      </c>
    </row>
    <row r="497" spans="1:2" x14ac:dyDescent="0.3">
      <c r="A497">
        <f t="shared" si="14"/>
        <v>0.20993358341940416</v>
      </c>
      <c r="B497">
        <f t="shared" si="15"/>
        <v>0.78068577441706355</v>
      </c>
    </row>
    <row r="498" spans="1:2" x14ac:dyDescent="0.3">
      <c r="A498">
        <f t="shared" si="14"/>
        <v>0.21147990079775603</v>
      </c>
      <c r="B498">
        <f t="shared" si="15"/>
        <v>0.78225657074385846</v>
      </c>
    </row>
    <row r="499" spans="1:2" x14ac:dyDescent="0.3">
      <c r="A499">
        <f t="shared" si="14"/>
        <v>0.21303596476278452</v>
      </c>
      <c r="B499">
        <f t="shared" si="15"/>
        <v>0.78382736707065337</v>
      </c>
    </row>
    <row r="500" spans="1:2" x14ac:dyDescent="0.3">
      <c r="A500">
        <f t="shared" si="14"/>
        <v>0.21460183660255161</v>
      </c>
      <c r="B500">
        <f t="shared" si="15"/>
        <v>0.78539816339744828</v>
      </c>
    </row>
    <row r="501" spans="1:2" x14ac:dyDescent="0.3">
      <c r="A501">
        <f t="shared" si="14"/>
        <v>0.21617757808730709</v>
      </c>
      <c r="B501">
        <f t="shared" si="15"/>
        <v>0.78696895972424319</v>
      </c>
    </row>
    <row r="502" spans="1:2" x14ac:dyDescent="0.3">
      <c r="A502">
        <f t="shared" si="14"/>
        <v>0.21776325147435593</v>
      </c>
      <c r="B502">
        <f t="shared" si="15"/>
        <v>0.7885397560510381</v>
      </c>
    </row>
    <row r="503" spans="1:2" x14ac:dyDescent="0.3">
      <c r="A503">
        <f t="shared" si="14"/>
        <v>0.2193589195129847</v>
      </c>
      <c r="B503">
        <f t="shared" si="15"/>
        <v>0.79011055237783301</v>
      </c>
    </row>
    <row r="504" spans="1:2" x14ac:dyDescent="0.3">
      <c r="A504">
        <f t="shared" si="14"/>
        <v>0.22096464544944561</v>
      </c>
      <c r="B504">
        <f t="shared" si="15"/>
        <v>0.79168134870462792</v>
      </c>
    </row>
    <row r="505" spans="1:2" x14ac:dyDescent="0.3">
      <c r="A505">
        <f t="shared" si="14"/>
        <v>0.22258049303200389</v>
      </c>
      <c r="B505">
        <f t="shared" si="15"/>
        <v>0.79325214503142272</v>
      </c>
    </row>
    <row r="506" spans="1:2" x14ac:dyDescent="0.3">
      <c r="A506">
        <f t="shared" si="14"/>
        <v>0.22420652651604367</v>
      </c>
      <c r="B506">
        <f t="shared" si="15"/>
        <v>0.79482294135821763</v>
      </c>
    </row>
    <row r="507" spans="1:2" x14ac:dyDescent="0.3">
      <c r="A507">
        <f t="shared" si="14"/>
        <v>0.22584281066923739</v>
      </c>
      <c r="B507">
        <f t="shared" si="15"/>
        <v>0.79639373768501254</v>
      </c>
    </row>
    <row r="508" spans="1:2" x14ac:dyDescent="0.3">
      <c r="A508">
        <f t="shared" si="14"/>
        <v>0.22748941077677653</v>
      </c>
      <c r="B508">
        <f t="shared" si="15"/>
        <v>0.79796453401180745</v>
      </c>
    </row>
    <row r="509" spans="1:2" x14ac:dyDescent="0.3">
      <c r="A509">
        <f t="shared" si="14"/>
        <v>0.22914639264666903</v>
      </c>
      <c r="B509">
        <f t="shared" si="15"/>
        <v>0.79953533033860236</v>
      </c>
    </row>
    <row r="510" spans="1:2" x14ac:dyDescent="0.3">
      <c r="A510">
        <f t="shared" si="14"/>
        <v>0.23081382261509831</v>
      </c>
      <c r="B510">
        <f t="shared" si="15"/>
        <v>0.80110612666539727</v>
      </c>
    </row>
    <row r="511" spans="1:2" x14ac:dyDescent="0.3">
      <c r="A511">
        <f t="shared" si="14"/>
        <v>0.23249176755185008</v>
      </c>
      <c r="B511">
        <f t="shared" si="15"/>
        <v>0.80267692299219218</v>
      </c>
    </row>
    <row r="512" spans="1:2" x14ac:dyDescent="0.3">
      <c r="A512">
        <f t="shared" si="14"/>
        <v>0.23418029486580438</v>
      </c>
      <c r="B512">
        <f t="shared" si="15"/>
        <v>0.80424771931898709</v>
      </c>
    </row>
    <row r="513" spans="1:2" x14ac:dyDescent="0.3">
      <c r="A513">
        <f t="shared" si="14"/>
        <v>0.23587947251049668</v>
      </c>
      <c r="B513">
        <f t="shared" si="15"/>
        <v>0.805818515645782</v>
      </c>
    </row>
    <row r="514" spans="1:2" x14ac:dyDescent="0.3">
      <c r="A514">
        <f t="shared" ref="A514:A577" si="16">TAN(B514)-B514</f>
        <v>0.2375893689897457</v>
      </c>
      <c r="B514">
        <f t="shared" ref="B514:B577" si="17">ROW()*0.001*PI()/2</f>
        <v>0.8073893119725768</v>
      </c>
    </row>
    <row r="515" spans="1:2" x14ac:dyDescent="0.3">
      <c r="A515">
        <f t="shared" si="16"/>
        <v>0.23931005336335243</v>
      </c>
      <c r="B515">
        <f t="shared" si="17"/>
        <v>0.80896010829937171</v>
      </c>
    </row>
    <row r="516" spans="1:2" x14ac:dyDescent="0.3">
      <c r="A516">
        <f t="shared" si="16"/>
        <v>0.24104159525286883</v>
      </c>
      <c r="B516">
        <f t="shared" si="17"/>
        <v>0.81053090462616662</v>
      </c>
    </row>
    <row r="517" spans="1:2" x14ac:dyDescent="0.3">
      <c r="A517">
        <f t="shared" si="16"/>
        <v>0.24278406484743742</v>
      </c>
      <c r="B517">
        <f t="shared" si="17"/>
        <v>0.81210170095296152</v>
      </c>
    </row>
    <row r="518" spans="1:2" x14ac:dyDescent="0.3">
      <c r="A518">
        <f t="shared" si="16"/>
        <v>0.24453753290970592</v>
      </c>
      <c r="B518">
        <f t="shared" si="17"/>
        <v>0.81367249727975643</v>
      </c>
    </row>
    <row r="519" spans="1:2" x14ac:dyDescent="0.3">
      <c r="A519">
        <f t="shared" si="16"/>
        <v>0.24630207078181188</v>
      </c>
      <c r="B519">
        <f t="shared" si="17"/>
        <v>0.81524329360655134</v>
      </c>
    </row>
    <row r="520" spans="1:2" x14ac:dyDescent="0.3">
      <c r="A520">
        <f t="shared" si="16"/>
        <v>0.24807775039144553</v>
      </c>
      <c r="B520">
        <f t="shared" si="17"/>
        <v>0.81681408993334625</v>
      </c>
    </row>
    <row r="521" spans="1:2" x14ac:dyDescent="0.3">
      <c r="A521">
        <f t="shared" si="16"/>
        <v>0.24986464425798649</v>
      </c>
      <c r="B521">
        <f t="shared" si="17"/>
        <v>0.81838488626014116</v>
      </c>
    </row>
    <row r="522" spans="1:2" x14ac:dyDescent="0.3">
      <c r="A522">
        <f t="shared" si="16"/>
        <v>0.25166282549871766</v>
      </c>
      <c r="B522">
        <f t="shared" si="17"/>
        <v>0.81995568258693607</v>
      </c>
    </row>
    <row r="523" spans="1:2" x14ac:dyDescent="0.3">
      <c r="A523">
        <f t="shared" si="16"/>
        <v>0.25347236783511728</v>
      </c>
      <c r="B523">
        <f t="shared" si="17"/>
        <v>0.82152647891373098</v>
      </c>
    </row>
    <row r="524" spans="1:2" x14ac:dyDescent="0.3">
      <c r="A524">
        <f t="shared" si="16"/>
        <v>0.25529334559923111</v>
      </c>
      <c r="B524">
        <f t="shared" si="17"/>
        <v>0.82309727524052578</v>
      </c>
    </row>
    <row r="525" spans="1:2" x14ac:dyDescent="0.3">
      <c r="A525">
        <f t="shared" si="16"/>
        <v>0.25712583374012321</v>
      </c>
      <c r="B525">
        <f t="shared" si="17"/>
        <v>0.82466807156732069</v>
      </c>
    </row>
    <row r="526" spans="1:2" x14ac:dyDescent="0.3">
      <c r="A526">
        <f t="shared" si="16"/>
        <v>0.25896990783040985</v>
      </c>
      <c r="B526">
        <f t="shared" si="17"/>
        <v>0.8262388678941156</v>
      </c>
    </row>
    <row r="527" spans="1:2" x14ac:dyDescent="0.3">
      <c r="A527">
        <f t="shared" si="16"/>
        <v>0.26082564407287512</v>
      </c>
      <c r="B527">
        <f t="shared" si="17"/>
        <v>0.82780966422091051</v>
      </c>
    </row>
    <row r="528" spans="1:2" x14ac:dyDescent="0.3">
      <c r="A528">
        <f t="shared" si="16"/>
        <v>0.26269311930717165</v>
      </c>
      <c r="B528">
        <f t="shared" si="17"/>
        <v>0.82938046054770542</v>
      </c>
    </row>
    <row r="529" spans="1:2" x14ac:dyDescent="0.3">
      <c r="A529">
        <f t="shared" si="16"/>
        <v>0.264572411016605</v>
      </c>
      <c r="B529">
        <f t="shared" si="17"/>
        <v>0.83095125687450033</v>
      </c>
    </row>
    <row r="530" spans="1:2" x14ac:dyDescent="0.3">
      <c r="A530">
        <f t="shared" si="16"/>
        <v>0.26646359733500635</v>
      </c>
      <c r="B530">
        <f t="shared" si="17"/>
        <v>0.83252205320129524</v>
      </c>
    </row>
    <row r="531" spans="1:2" x14ac:dyDescent="0.3">
      <c r="A531">
        <f t="shared" si="16"/>
        <v>0.26836675705369184</v>
      </c>
      <c r="B531">
        <f t="shared" si="17"/>
        <v>0.83409284952809015</v>
      </c>
    </row>
    <row r="532" spans="1:2" x14ac:dyDescent="0.3">
      <c r="A532">
        <f t="shared" si="16"/>
        <v>0.27028196962851114</v>
      </c>
      <c r="B532">
        <f t="shared" si="17"/>
        <v>0.83566364585488506</v>
      </c>
    </row>
    <row r="533" spans="1:2" x14ac:dyDescent="0.3">
      <c r="A533">
        <f t="shared" si="16"/>
        <v>0.27220931518698677</v>
      </c>
      <c r="B533">
        <f t="shared" si="17"/>
        <v>0.83723444218167986</v>
      </c>
    </row>
    <row r="534" spans="1:2" x14ac:dyDescent="0.3">
      <c r="A534">
        <f t="shared" si="16"/>
        <v>0.27414887453554515</v>
      </c>
      <c r="B534">
        <f t="shared" si="17"/>
        <v>0.83880523850847477</v>
      </c>
    </row>
    <row r="535" spans="1:2" x14ac:dyDescent="0.3">
      <c r="A535">
        <f t="shared" si="16"/>
        <v>0.27610072916684125</v>
      </c>
      <c r="B535">
        <f t="shared" si="17"/>
        <v>0.84037603483526968</v>
      </c>
    </row>
    <row r="536" spans="1:2" x14ac:dyDescent="0.3">
      <c r="A536">
        <f t="shared" si="16"/>
        <v>0.27806496126717639</v>
      </c>
      <c r="B536">
        <f t="shared" si="17"/>
        <v>0.84194683116206459</v>
      </c>
    </row>
    <row r="537" spans="1:2" x14ac:dyDescent="0.3">
      <c r="A537">
        <f t="shared" si="16"/>
        <v>0.28004165372401413</v>
      </c>
      <c r="B537">
        <f t="shared" si="17"/>
        <v>0.8435176274888595</v>
      </c>
    </row>
    <row r="538" spans="1:2" x14ac:dyDescent="0.3">
      <c r="A538">
        <f t="shared" si="16"/>
        <v>0.28203089013359262</v>
      </c>
      <c r="B538">
        <f t="shared" si="17"/>
        <v>0.84508842381565441</v>
      </c>
    </row>
    <row r="539" spans="1:2" x14ac:dyDescent="0.3">
      <c r="A539">
        <f t="shared" si="16"/>
        <v>0.28403275480863466</v>
      </c>
      <c r="B539">
        <f t="shared" si="17"/>
        <v>0.84665922014244932</v>
      </c>
    </row>
    <row r="540" spans="1:2" x14ac:dyDescent="0.3">
      <c r="A540">
        <f t="shared" si="16"/>
        <v>0.28604733278616146</v>
      </c>
      <c r="B540">
        <f t="shared" si="17"/>
        <v>0.84823001646924423</v>
      </c>
    </row>
    <row r="541" spans="1:2" x14ac:dyDescent="0.3">
      <c r="A541">
        <f t="shared" si="16"/>
        <v>0.28807470983540451</v>
      </c>
      <c r="B541">
        <f t="shared" si="17"/>
        <v>0.84980081279603914</v>
      </c>
    </row>
    <row r="542" spans="1:2" x14ac:dyDescent="0.3">
      <c r="A542">
        <f t="shared" si="16"/>
        <v>0.29011497246582485</v>
      </c>
      <c r="B542">
        <f t="shared" si="17"/>
        <v>0.85137160912283394</v>
      </c>
    </row>
    <row r="543" spans="1:2" x14ac:dyDescent="0.3">
      <c r="A543">
        <f t="shared" si="16"/>
        <v>0.29216820793523435</v>
      </c>
      <c r="B543">
        <f t="shared" si="17"/>
        <v>0.85294240544962885</v>
      </c>
    </row>
    <row r="544" spans="1:2" x14ac:dyDescent="0.3">
      <c r="A544">
        <f t="shared" si="16"/>
        <v>0.29423450425802533</v>
      </c>
      <c r="B544">
        <f t="shared" si="17"/>
        <v>0.85451320177642376</v>
      </c>
    </row>
    <row r="545" spans="1:2" x14ac:dyDescent="0.3">
      <c r="A545">
        <f t="shared" si="16"/>
        <v>0.29631395021350859</v>
      </c>
      <c r="B545">
        <f t="shared" si="17"/>
        <v>0.85608399810321867</v>
      </c>
    </row>
    <row r="546" spans="1:2" x14ac:dyDescent="0.3">
      <c r="A546">
        <f t="shared" si="16"/>
        <v>0.29840663535436074</v>
      </c>
      <c r="B546">
        <f t="shared" si="17"/>
        <v>0.85765479443001358</v>
      </c>
    </row>
    <row r="547" spans="1:2" x14ac:dyDescent="0.3">
      <c r="A547">
        <f t="shared" si="16"/>
        <v>0.30051265001518468</v>
      </c>
      <c r="B547">
        <f t="shared" si="17"/>
        <v>0.85922559075680849</v>
      </c>
    </row>
    <row r="548" spans="1:2" x14ac:dyDescent="0.3">
      <c r="A548">
        <f t="shared" si="16"/>
        <v>0.30263208532118202</v>
      </c>
      <c r="B548">
        <f t="shared" si="17"/>
        <v>0.8607963870836034</v>
      </c>
    </row>
    <row r="549" spans="1:2" x14ac:dyDescent="0.3">
      <c r="A549">
        <f t="shared" si="16"/>
        <v>0.30476503319694181</v>
      </c>
      <c r="B549">
        <f t="shared" si="17"/>
        <v>0.86236718341039831</v>
      </c>
    </row>
    <row r="550" spans="1:2" x14ac:dyDescent="0.3">
      <c r="A550">
        <f t="shared" si="16"/>
        <v>0.3069115863753461</v>
      </c>
      <c r="B550">
        <f t="shared" si="17"/>
        <v>0.86393797973719322</v>
      </c>
    </row>
    <row r="551" spans="1:2" x14ac:dyDescent="0.3">
      <c r="A551">
        <f t="shared" si="16"/>
        <v>0.30907183840659425</v>
      </c>
      <c r="B551">
        <f t="shared" si="17"/>
        <v>0.86550877606398813</v>
      </c>
    </row>
    <row r="552" spans="1:2" x14ac:dyDescent="0.3">
      <c r="A552">
        <f t="shared" si="16"/>
        <v>0.31124588366734796</v>
      </c>
      <c r="B552">
        <f t="shared" si="17"/>
        <v>0.86707957239078293</v>
      </c>
    </row>
    <row r="553" spans="1:2" x14ac:dyDescent="0.3">
      <c r="A553">
        <f t="shared" si="16"/>
        <v>0.31343381736999965</v>
      </c>
      <c r="B553">
        <f t="shared" si="17"/>
        <v>0.86865036871757784</v>
      </c>
    </row>
    <row r="554" spans="1:2" x14ac:dyDescent="0.3">
      <c r="A554">
        <f t="shared" si="16"/>
        <v>0.31563573557206448</v>
      </c>
      <c r="B554">
        <f t="shared" si="17"/>
        <v>0.87022116504437275</v>
      </c>
    </row>
    <row r="555" spans="1:2" x14ac:dyDescent="0.3">
      <c r="A555">
        <f t="shared" si="16"/>
        <v>0.31785173518569942</v>
      </c>
      <c r="B555">
        <f t="shared" si="17"/>
        <v>0.87179196137116766</v>
      </c>
    </row>
    <row r="556" spans="1:2" x14ac:dyDescent="0.3">
      <c r="A556">
        <f t="shared" si="16"/>
        <v>0.32008191398735031</v>
      </c>
      <c r="B556">
        <f t="shared" si="17"/>
        <v>0.87336275769796257</v>
      </c>
    </row>
    <row r="557" spans="1:2" x14ac:dyDescent="0.3">
      <c r="A557">
        <f t="shared" si="16"/>
        <v>0.32232637062753111</v>
      </c>
      <c r="B557">
        <f t="shared" si="17"/>
        <v>0.87493355402475748</v>
      </c>
    </row>
    <row r="558" spans="1:2" x14ac:dyDescent="0.3">
      <c r="A558">
        <f t="shared" si="16"/>
        <v>0.32458520464073315</v>
      </c>
      <c r="B558">
        <f t="shared" si="17"/>
        <v>0.87650435035155239</v>
      </c>
    </row>
    <row r="559" spans="1:2" x14ac:dyDescent="0.3">
      <c r="A559">
        <f t="shared" si="16"/>
        <v>0.32685851645547148</v>
      </c>
      <c r="B559">
        <f t="shared" si="17"/>
        <v>0.8780751466783473</v>
      </c>
    </row>
    <row r="560" spans="1:2" x14ac:dyDescent="0.3">
      <c r="A560">
        <f t="shared" si="16"/>
        <v>0.32914640740446721</v>
      </c>
      <c r="B560">
        <f t="shared" si="17"/>
        <v>0.87964594300514221</v>
      </c>
    </row>
    <row r="561" spans="1:2" x14ac:dyDescent="0.3">
      <c r="A561">
        <f t="shared" si="16"/>
        <v>0.33144897973496801</v>
      </c>
      <c r="B561">
        <f t="shared" si="17"/>
        <v>0.881216739331937</v>
      </c>
    </row>
    <row r="562" spans="1:2" x14ac:dyDescent="0.3">
      <c r="A562">
        <f t="shared" si="16"/>
        <v>0.33376633661921262</v>
      </c>
      <c r="B562">
        <f t="shared" si="17"/>
        <v>0.88278753565873191</v>
      </c>
    </row>
    <row r="563" spans="1:2" x14ac:dyDescent="0.3">
      <c r="A563">
        <f t="shared" si="16"/>
        <v>0.33609858216503463</v>
      </c>
      <c r="B563">
        <f t="shared" si="17"/>
        <v>0.88435833198552682</v>
      </c>
    </row>
    <row r="564" spans="1:2" x14ac:dyDescent="0.3">
      <c r="A564">
        <f t="shared" si="16"/>
        <v>0.33844582142661672</v>
      </c>
      <c r="B564">
        <f t="shared" si="17"/>
        <v>0.88592912831232173</v>
      </c>
    </row>
    <row r="565" spans="1:2" x14ac:dyDescent="0.3">
      <c r="A565">
        <f t="shared" si="16"/>
        <v>0.34080816041538964</v>
      </c>
      <c r="B565">
        <f t="shared" si="17"/>
        <v>0.88749992463911664</v>
      </c>
    </row>
    <row r="566" spans="1:2" x14ac:dyDescent="0.3">
      <c r="A566">
        <f t="shared" si="16"/>
        <v>0.34318570611108401</v>
      </c>
      <c r="B566">
        <f t="shared" si="17"/>
        <v>0.88907072096591155</v>
      </c>
    </row>
    <row r="567" spans="1:2" x14ac:dyDescent="0.3">
      <c r="A567">
        <f t="shared" si="16"/>
        <v>0.34557856647293339</v>
      </c>
      <c r="B567">
        <f t="shared" si="17"/>
        <v>0.89064151729270646</v>
      </c>
    </row>
    <row r="568" spans="1:2" x14ac:dyDescent="0.3">
      <c r="A568">
        <f t="shared" si="16"/>
        <v>0.34798685045103472</v>
      </c>
      <c r="B568">
        <f t="shared" si="17"/>
        <v>0.89221231361950137</v>
      </c>
    </row>
    <row r="569" spans="1:2" x14ac:dyDescent="0.3">
      <c r="A569">
        <f t="shared" si="16"/>
        <v>0.35041066799786469</v>
      </c>
      <c r="B569">
        <f t="shared" si="17"/>
        <v>0.89378310994629628</v>
      </c>
    </row>
    <row r="570" spans="1:2" x14ac:dyDescent="0.3">
      <c r="A570">
        <f t="shared" si="16"/>
        <v>0.35285013007995847</v>
      </c>
      <c r="B570">
        <f t="shared" si="17"/>
        <v>0.89535390627309108</v>
      </c>
    </row>
    <row r="571" spans="1:2" x14ac:dyDescent="0.3">
      <c r="A571">
        <f t="shared" si="16"/>
        <v>0.35530534868975161</v>
      </c>
      <c r="B571">
        <f t="shared" si="17"/>
        <v>0.89692470259988599</v>
      </c>
    </row>
    <row r="572" spans="1:2" x14ac:dyDescent="0.3">
      <c r="A572">
        <f t="shared" si="16"/>
        <v>0.35777643685758598</v>
      </c>
      <c r="B572">
        <f t="shared" si="17"/>
        <v>0.8984954989266809</v>
      </c>
    </row>
    <row r="573" spans="1:2" x14ac:dyDescent="0.3">
      <c r="A573">
        <f t="shared" si="16"/>
        <v>0.36026350866388668</v>
      </c>
      <c r="B573">
        <f t="shared" si="17"/>
        <v>0.90006629525347581</v>
      </c>
    </row>
    <row r="574" spans="1:2" x14ac:dyDescent="0.3">
      <c r="A574">
        <f t="shared" si="16"/>
        <v>0.36276667925150896</v>
      </c>
      <c r="B574">
        <f t="shared" si="17"/>
        <v>0.90163709158027072</v>
      </c>
    </row>
    <row r="575" spans="1:2" x14ac:dyDescent="0.3">
      <c r="A575">
        <f t="shared" si="16"/>
        <v>0.36528606483825909</v>
      </c>
      <c r="B575">
        <f t="shared" si="17"/>
        <v>0.90320788790706563</v>
      </c>
    </row>
    <row r="576" spans="1:2" x14ac:dyDescent="0.3">
      <c r="A576">
        <f t="shared" si="16"/>
        <v>0.36782178272959443</v>
      </c>
      <c r="B576">
        <f t="shared" si="17"/>
        <v>0.90477868423386054</v>
      </c>
    </row>
    <row r="577" spans="1:2" x14ac:dyDescent="0.3">
      <c r="A577">
        <f t="shared" si="16"/>
        <v>0.37037395133149975</v>
      </c>
      <c r="B577">
        <f t="shared" si="17"/>
        <v>0.90634948056065523</v>
      </c>
    </row>
    <row r="578" spans="1:2" x14ac:dyDescent="0.3">
      <c r="A578">
        <f t="shared" ref="A578:A641" si="18">TAN(B578)-B578</f>
        <v>0.37294269016355197</v>
      </c>
      <c r="B578">
        <f t="shared" ref="B578:B641" si="19">ROW()*0.001*PI()/2</f>
        <v>0.90792027688745014</v>
      </c>
    </row>
    <row r="579" spans="1:2" x14ac:dyDescent="0.3">
      <c r="A579">
        <f t="shared" si="18"/>
        <v>0.37552811987216461</v>
      </c>
      <c r="B579">
        <f t="shared" si="19"/>
        <v>0.90949107321424505</v>
      </c>
    </row>
    <row r="580" spans="1:2" x14ac:dyDescent="0.3">
      <c r="A580">
        <f t="shared" si="18"/>
        <v>0.37813036224402641</v>
      </c>
      <c r="B580">
        <f t="shared" si="19"/>
        <v>0.91106186954103996</v>
      </c>
    </row>
    <row r="581" spans="1:2" x14ac:dyDescent="0.3">
      <c r="A581">
        <f t="shared" si="18"/>
        <v>0.38074954021973062</v>
      </c>
      <c r="B581">
        <f t="shared" si="19"/>
        <v>0.91263266586783487</v>
      </c>
    </row>
    <row r="582" spans="1:2" x14ac:dyDescent="0.3">
      <c r="A582">
        <f t="shared" si="18"/>
        <v>0.3833857779075982</v>
      </c>
      <c r="B582">
        <f t="shared" si="19"/>
        <v>0.91420346219462978</v>
      </c>
    </row>
    <row r="583" spans="1:2" x14ac:dyDescent="0.3">
      <c r="A583">
        <f t="shared" si="18"/>
        <v>0.38603920059770302</v>
      </c>
      <c r="B583">
        <f t="shared" si="19"/>
        <v>0.91577425852142469</v>
      </c>
    </row>
    <row r="584" spans="1:2" x14ac:dyDescent="0.3">
      <c r="A584">
        <f t="shared" si="18"/>
        <v>0.38870993477609639</v>
      </c>
      <c r="B584">
        <f t="shared" si="19"/>
        <v>0.91734505484821949</v>
      </c>
    </row>
    <row r="585" spans="1:2" x14ac:dyDescent="0.3">
      <c r="A585">
        <f t="shared" si="18"/>
        <v>0.39139810813923903</v>
      </c>
      <c r="B585">
        <f t="shared" si="19"/>
        <v>0.9189158511750144</v>
      </c>
    </row>
    <row r="586" spans="1:2" x14ac:dyDescent="0.3">
      <c r="A586">
        <f t="shared" si="18"/>
        <v>0.39410384960864075</v>
      </c>
      <c r="B586">
        <f t="shared" si="19"/>
        <v>0.92048664750180931</v>
      </c>
    </row>
    <row r="587" spans="1:2" x14ac:dyDescent="0.3">
      <c r="A587">
        <f t="shared" si="18"/>
        <v>0.39682728934571365</v>
      </c>
      <c r="B587">
        <f t="shared" si="19"/>
        <v>0.92205744382860422</v>
      </c>
    </row>
    <row r="588" spans="1:2" x14ac:dyDescent="0.3">
      <c r="A588">
        <f t="shared" si="18"/>
        <v>0.39956855876684105</v>
      </c>
      <c r="B588">
        <f t="shared" si="19"/>
        <v>0.92362824015539913</v>
      </c>
    </row>
    <row r="589" spans="1:2" x14ac:dyDescent="0.3">
      <c r="A589">
        <f t="shared" si="18"/>
        <v>0.40232779055866708</v>
      </c>
      <c r="B589">
        <f t="shared" si="19"/>
        <v>0.92519903648219404</v>
      </c>
    </row>
    <row r="590" spans="1:2" x14ac:dyDescent="0.3">
      <c r="A590">
        <f t="shared" si="18"/>
        <v>0.40510511869360843</v>
      </c>
      <c r="B590">
        <f t="shared" si="19"/>
        <v>0.92676983280898895</v>
      </c>
    </row>
    <row r="591" spans="1:2" x14ac:dyDescent="0.3">
      <c r="A591">
        <f t="shared" si="18"/>
        <v>0.40790067844559519</v>
      </c>
      <c r="B591">
        <f t="shared" si="19"/>
        <v>0.92834062913578386</v>
      </c>
    </row>
    <row r="592" spans="1:2" x14ac:dyDescent="0.3">
      <c r="A592">
        <f t="shared" si="18"/>
        <v>0.41071460640604218</v>
      </c>
      <c r="B592">
        <f t="shared" si="19"/>
        <v>0.92991142546257877</v>
      </c>
    </row>
    <row r="593" spans="1:2" x14ac:dyDescent="0.3">
      <c r="A593">
        <f t="shared" si="18"/>
        <v>0.41354704050005486</v>
      </c>
      <c r="B593">
        <f t="shared" si="19"/>
        <v>0.93148222178937357</v>
      </c>
    </row>
    <row r="594" spans="1:2" x14ac:dyDescent="0.3">
      <c r="A594">
        <f t="shared" si="18"/>
        <v>0.4163981200028779</v>
      </c>
      <c r="B594">
        <f t="shared" si="19"/>
        <v>0.93305301811616848</v>
      </c>
    </row>
    <row r="595" spans="1:2" x14ac:dyDescent="0.3">
      <c r="A595">
        <f t="shared" si="18"/>
        <v>0.41926798555658251</v>
      </c>
      <c r="B595">
        <f t="shared" si="19"/>
        <v>0.93462381444296339</v>
      </c>
    </row>
    <row r="596" spans="1:2" x14ac:dyDescent="0.3">
      <c r="A596">
        <f t="shared" si="18"/>
        <v>0.42215677918700512</v>
      </c>
      <c r="B596">
        <f t="shared" si="19"/>
        <v>0.9361946107697583</v>
      </c>
    </row>
    <row r="597" spans="1:2" x14ac:dyDescent="0.3">
      <c r="A597">
        <f t="shared" si="18"/>
        <v>0.42506464432093793</v>
      </c>
      <c r="B597">
        <f t="shared" si="19"/>
        <v>0.93776540709655321</v>
      </c>
    </row>
    <row r="598" spans="1:2" x14ac:dyDescent="0.3">
      <c r="A598">
        <f t="shared" si="18"/>
        <v>0.42799172580357325</v>
      </c>
      <c r="B598">
        <f t="shared" si="19"/>
        <v>0.93933620342334812</v>
      </c>
    </row>
    <row r="599" spans="1:2" x14ac:dyDescent="0.3">
      <c r="A599">
        <f t="shared" si="18"/>
        <v>0.4309381699162117</v>
      </c>
      <c r="B599">
        <f t="shared" si="19"/>
        <v>0.94090699975014302</v>
      </c>
    </row>
    <row r="600" spans="1:2" x14ac:dyDescent="0.3">
      <c r="A600">
        <f t="shared" si="18"/>
        <v>0.43390412439423542</v>
      </c>
      <c r="B600">
        <f t="shared" si="19"/>
        <v>0.94247779607693793</v>
      </c>
    </row>
    <row r="601" spans="1:2" x14ac:dyDescent="0.3">
      <c r="A601">
        <f t="shared" si="18"/>
        <v>0.43688973844534951</v>
      </c>
      <c r="B601">
        <f t="shared" si="19"/>
        <v>0.94404859240373284</v>
      </c>
    </row>
    <row r="602" spans="1:2" x14ac:dyDescent="0.3">
      <c r="A602">
        <f t="shared" si="18"/>
        <v>0.43989516276809992</v>
      </c>
      <c r="B602">
        <f t="shared" si="19"/>
        <v>0.94561938873052764</v>
      </c>
    </row>
    <row r="603" spans="1:2" x14ac:dyDescent="0.3">
      <c r="A603">
        <f t="shared" si="18"/>
        <v>0.44292054957067273</v>
      </c>
      <c r="B603">
        <f t="shared" si="19"/>
        <v>0.94719018505732255</v>
      </c>
    </row>
    <row r="604" spans="1:2" x14ac:dyDescent="0.3">
      <c r="A604">
        <f t="shared" si="18"/>
        <v>0.44596605258997413</v>
      </c>
      <c r="B604">
        <f t="shared" si="19"/>
        <v>0.94876098138411746</v>
      </c>
    </row>
    <row r="605" spans="1:2" x14ac:dyDescent="0.3">
      <c r="A605">
        <f t="shared" si="18"/>
        <v>0.44903182711100298</v>
      </c>
      <c r="B605">
        <f t="shared" si="19"/>
        <v>0.95033177771091237</v>
      </c>
    </row>
    <row r="606" spans="1:2" x14ac:dyDescent="0.3">
      <c r="A606">
        <f t="shared" si="18"/>
        <v>0.45211802998651895</v>
      </c>
      <c r="B606">
        <f t="shared" si="19"/>
        <v>0.95190257403770728</v>
      </c>
    </row>
    <row r="607" spans="1:2" x14ac:dyDescent="0.3">
      <c r="A607">
        <f t="shared" si="18"/>
        <v>0.45522481965700767</v>
      </c>
      <c r="B607">
        <f t="shared" si="19"/>
        <v>0.95347337036450219</v>
      </c>
    </row>
    <row r="608" spans="1:2" x14ac:dyDescent="0.3">
      <c r="A608">
        <f t="shared" si="18"/>
        <v>0.45835235617095516</v>
      </c>
      <c r="B608">
        <f t="shared" si="19"/>
        <v>0.9550441666912971</v>
      </c>
    </row>
    <row r="609" spans="1:2" x14ac:dyDescent="0.3">
      <c r="A609">
        <f t="shared" si="18"/>
        <v>0.4615008012054298</v>
      </c>
      <c r="B609">
        <f t="shared" si="19"/>
        <v>0.95661496301809201</v>
      </c>
    </row>
    <row r="610" spans="1:2" x14ac:dyDescent="0.3">
      <c r="A610">
        <f t="shared" si="18"/>
        <v>0.46467031808698367</v>
      </c>
      <c r="B610">
        <f t="shared" si="19"/>
        <v>0.95818575934488692</v>
      </c>
    </row>
    <row r="611" spans="1:2" x14ac:dyDescent="0.3">
      <c r="A611">
        <f t="shared" si="18"/>
        <v>0.46786107181287417</v>
      </c>
      <c r="B611">
        <f t="shared" si="19"/>
        <v>0.95975655567168183</v>
      </c>
    </row>
    <row r="612" spans="1:2" x14ac:dyDescent="0.3">
      <c r="A612">
        <f t="shared" si="18"/>
        <v>0.47107322907261517</v>
      </c>
      <c r="B612">
        <f t="shared" si="19"/>
        <v>0.96132735199847663</v>
      </c>
    </row>
    <row r="613" spans="1:2" x14ac:dyDescent="0.3">
      <c r="A613">
        <f t="shared" si="18"/>
        <v>0.47430695826986147</v>
      </c>
      <c r="B613">
        <f t="shared" si="19"/>
        <v>0.96289814832527154</v>
      </c>
    </row>
    <row r="614" spans="1:2" x14ac:dyDescent="0.3">
      <c r="A614">
        <f t="shared" si="18"/>
        <v>0.47756242954463279</v>
      </c>
      <c r="B614">
        <f t="shared" si="19"/>
        <v>0.96446894465206645</v>
      </c>
    </row>
    <row r="615" spans="1:2" x14ac:dyDescent="0.3">
      <c r="A615">
        <f t="shared" si="18"/>
        <v>0.48083981479588533</v>
      </c>
      <c r="B615">
        <f t="shared" si="19"/>
        <v>0.96603974097886136</v>
      </c>
    </row>
    <row r="616" spans="1:2" x14ac:dyDescent="0.3">
      <c r="A616">
        <f t="shared" si="18"/>
        <v>0.48413928770443548</v>
      </c>
      <c r="B616">
        <f t="shared" si="19"/>
        <v>0.96761053730565627</v>
      </c>
    </row>
    <row r="617" spans="1:2" x14ac:dyDescent="0.3">
      <c r="A617">
        <f t="shared" si="18"/>
        <v>0.48746102375624101</v>
      </c>
      <c r="B617">
        <f t="shared" si="19"/>
        <v>0.96918133363245118</v>
      </c>
    </row>
    <row r="618" spans="1:2" x14ac:dyDescent="0.3">
      <c r="A618">
        <f t="shared" si="18"/>
        <v>0.49080520026605123</v>
      </c>
      <c r="B618">
        <f t="shared" si="19"/>
        <v>0.97075212995924609</v>
      </c>
    </row>
    <row r="619" spans="1:2" x14ac:dyDescent="0.3">
      <c r="A619">
        <f t="shared" si="18"/>
        <v>0.49417199640142517</v>
      </c>
      <c r="B619">
        <f t="shared" si="19"/>
        <v>0.972322926286041</v>
      </c>
    </row>
    <row r="620" spans="1:2" x14ac:dyDescent="0.3">
      <c r="A620">
        <f t="shared" si="18"/>
        <v>0.49756159320713311</v>
      </c>
      <c r="B620">
        <f t="shared" si="19"/>
        <v>0.97389372261283591</v>
      </c>
    </row>
    <row r="621" spans="1:2" x14ac:dyDescent="0.3">
      <c r="A621">
        <f t="shared" si="18"/>
        <v>0.50097417362994112</v>
      </c>
      <c r="B621">
        <f t="shared" si="19"/>
        <v>0.97546451893963071</v>
      </c>
    </row>
    <row r="622" spans="1:2" x14ac:dyDescent="0.3">
      <c r="A622">
        <f t="shared" si="18"/>
        <v>0.50440992254379113</v>
      </c>
      <c r="B622">
        <f t="shared" si="19"/>
        <v>0.97703531526642562</v>
      </c>
    </row>
    <row r="623" spans="1:2" x14ac:dyDescent="0.3">
      <c r="A623">
        <f t="shared" si="18"/>
        <v>0.5078690267753796</v>
      </c>
      <c r="B623">
        <f t="shared" si="19"/>
        <v>0.97860611159322053</v>
      </c>
    </row>
    <row r="624" spans="1:2" x14ac:dyDescent="0.3">
      <c r="A624">
        <f t="shared" si="18"/>
        <v>0.51135167513014668</v>
      </c>
      <c r="B624">
        <f t="shared" si="19"/>
        <v>0.98017690792001544</v>
      </c>
    </row>
    <row r="625" spans="1:2" x14ac:dyDescent="0.3">
      <c r="A625">
        <f t="shared" si="18"/>
        <v>0.5148580584186786</v>
      </c>
      <c r="B625">
        <f t="shared" si="19"/>
        <v>0.98174770424681035</v>
      </c>
    </row>
    <row r="626" spans="1:2" x14ac:dyDescent="0.3">
      <c r="A626">
        <f t="shared" si="18"/>
        <v>0.51838836948353528</v>
      </c>
      <c r="B626">
        <f t="shared" si="19"/>
        <v>0.98331850057360526</v>
      </c>
    </row>
    <row r="627" spans="1:2" x14ac:dyDescent="0.3">
      <c r="A627">
        <f t="shared" si="18"/>
        <v>0.52194280322650943</v>
      </c>
      <c r="B627">
        <f t="shared" si="19"/>
        <v>0.98488929690040017</v>
      </c>
    </row>
    <row r="628" spans="1:2" x14ac:dyDescent="0.3">
      <c r="A628">
        <f t="shared" si="18"/>
        <v>0.52552155663632372</v>
      </c>
      <c r="B628">
        <f t="shared" si="19"/>
        <v>0.98646009322719508</v>
      </c>
    </row>
    <row r="629" spans="1:2" x14ac:dyDescent="0.3">
      <c r="A629">
        <f t="shared" si="18"/>
        <v>0.52912482881677692</v>
      </c>
      <c r="B629">
        <f t="shared" si="19"/>
        <v>0.98803088955398999</v>
      </c>
    </row>
    <row r="630" spans="1:2" x14ac:dyDescent="0.3">
      <c r="A630">
        <f t="shared" si="18"/>
        <v>0.53275282101534627</v>
      </c>
      <c r="B630">
        <f t="shared" si="19"/>
        <v>0.98960168588078479</v>
      </c>
    </row>
    <row r="631" spans="1:2" x14ac:dyDescent="0.3">
      <c r="A631">
        <f t="shared" si="18"/>
        <v>0.53640573665225555</v>
      </c>
      <c r="B631">
        <f t="shared" si="19"/>
        <v>0.9911724822075797</v>
      </c>
    </row>
    <row r="632" spans="1:2" x14ac:dyDescent="0.3">
      <c r="A632">
        <f t="shared" si="18"/>
        <v>0.54008378135001545</v>
      </c>
      <c r="B632">
        <f t="shared" si="19"/>
        <v>0.99274327853437461</v>
      </c>
    </row>
    <row r="633" spans="1:2" x14ac:dyDescent="0.3">
      <c r="A633">
        <f t="shared" si="18"/>
        <v>0.54378716296344642</v>
      </c>
      <c r="B633">
        <f t="shared" si="19"/>
        <v>0.99431407486116952</v>
      </c>
    </row>
    <row r="634" spans="1:2" x14ac:dyDescent="0.3">
      <c r="A634">
        <f t="shared" si="18"/>
        <v>0.54751609161019754</v>
      </c>
      <c r="B634">
        <f t="shared" si="19"/>
        <v>0.99588487118796443</v>
      </c>
    </row>
    <row r="635" spans="1:2" x14ac:dyDescent="0.3">
      <c r="A635">
        <f t="shared" si="18"/>
        <v>0.55127077970176119</v>
      </c>
      <c r="B635">
        <f t="shared" si="19"/>
        <v>0.99745566751475934</v>
      </c>
    </row>
    <row r="636" spans="1:2" x14ac:dyDescent="0.3">
      <c r="A636">
        <f t="shared" si="18"/>
        <v>0.55505144197500411</v>
      </c>
      <c r="B636">
        <f t="shared" si="19"/>
        <v>0.99902646384155425</v>
      </c>
    </row>
    <row r="637" spans="1:2" x14ac:dyDescent="0.3">
      <c r="A637">
        <f t="shared" si="18"/>
        <v>0.55885829552421584</v>
      </c>
      <c r="B637">
        <f t="shared" si="19"/>
        <v>1.000597260168349</v>
      </c>
    </row>
    <row r="638" spans="1:2" x14ac:dyDescent="0.3">
      <c r="A638">
        <f t="shared" si="18"/>
        <v>0.56269155983369146</v>
      </c>
      <c r="B638">
        <f t="shared" si="19"/>
        <v>1.0021680564951441</v>
      </c>
    </row>
    <row r="639" spans="1:2" x14ac:dyDescent="0.3">
      <c r="A639">
        <f t="shared" si="18"/>
        <v>0.56655145681085095</v>
      </c>
      <c r="B639">
        <f t="shared" si="19"/>
        <v>1.0037388528219389</v>
      </c>
    </row>
    <row r="640" spans="1:2" x14ac:dyDescent="0.3">
      <c r="A640">
        <f t="shared" si="18"/>
        <v>0.5704382108199173</v>
      </c>
      <c r="B640">
        <f t="shared" si="19"/>
        <v>1.0053096491487339</v>
      </c>
    </row>
    <row r="641" spans="1:2" x14ac:dyDescent="0.3">
      <c r="A641">
        <f t="shared" si="18"/>
        <v>0.57435204871615042</v>
      </c>
      <c r="B641">
        <f t="shared" si="19"/>
        <v>1.0068804454755287</v>
      </c>
    </row>
    <row r="642" spans="1:2" x14ac:dyDescent="0.3">
      <c r="A642">
        <f t="shared" ref="A642:A705" si="20">TAN(B642)-B642</f>
        <v>0.57829319988066086</v>
      </c>
      <c r="B642">
        <f t="shared" ref="B642:B705" si="21">ROW()*0.001*PI()/2</f>
        <v>1.0084512418023237</v>
      </c>
    </row>
    <row r="643" spans="1:2" x14ac:dyDescent="0.3">
      <c r="A643">
        <f t="shared" si="20"/>
        <v>0.58226189625580171</v>
      </c>
      <c r="B643">
        <f t="shared" si="21"/>
        <v>1.0100220381291185</v>
      </c>
    </row>
    <row r="644" spans="1:2" x14ac:dyDescent="0.3">
      <c r="A644">
        <f t="shared" si="20"/>
        <v>0.58625837238116563</v>
      </c>
      <c r="B644">
        <f t="shared" si="21"/>
        <v>1.0115928344559133</v>
      </c>
    </row>
    <row r="645" spans="1:2" x14ac:dyDescent="0.3">
      <c r="A645">
        <f t="shared" si="20"/>
        <v>0.59028286543018216</v>
      </c>
      <c r="B645">
        <f t="shared" si="21"/>
        <v>1.0131636307827083</v>
      </c>
    </row>
    <row r="646" spans="1:2" x14ac:dyDescent="0.3">
      <c r="A646">
        <f t="shared" si="20"/>
        <v>0.5943356152473378</v>
      </c>
      <c r="B646">
        <f t="shared" si="21"/>
        <v>1.0147344271095031</v>
      </c>
    </row>
    <row r="647" spans="1:2" x14ac:dyDescent="0.3">
      <c r="A647">
        <f t="shared" si="20"/>
        <v>0.59841686438603303</v>
      </c>
      <c r="B647">
        <f t="shared" si="21"/>
        <v>1.0163052234362981</v>
      </c>
    </row>
    <row r="648" spans="1:2" x14ac:dyDescent="0.3">
      <c r="A648">
        <f t="shared" si="20"/>
        <v>0.60252685814707618</v>
      </c>
      <c r="B648">
        <f t="shared" si="21"/>
        <v>1.0178760197630929</v>
      </c>
    </row>
    <row r="649" spans="1:2" x14ac:dyDescent="0.3">
      <c r="A649">
        <f t="shared" si="20"/>
        <v>0.60666584461784456</v>
      </c>
      <c r="B649">
        <f t="shared" si="21"/>
        <v>1.019446816089888</v>
      </c>
    </row>
    <row r="650" spans="1:2" x14ac:dyDescent="0.3">
      <c r="A650">
        <f t="shared" si="20"/>
        <v>0.6108340747121066</v>
      </c>
      <c r="B650">
        <f t="shared" si="21"/>
        <v>1.0210176124166828</v>
      </c>
    </row>
    <row r="651" spans="1:2" x14ac:dyDescent="0.3">
      <c r="A651">
        <f t="shared" si="20"/>
        <v>0.61503180221054077</v>
      </c>
      <c r="B651">
        <f t="shared" si="21"/>
        <v>1.0225884087434778</v>
      </c>
    </row>
    <row r="652" spans="1:2" x14ac:dyDescent="0.3">
      <c r="A652">
        <f t="shared" si="20"/>
        <v>0.61925928380193929</v>
      </c>
      <c r="B652">
        <f t="shared" si="21"/>
        <v>1.0241592050702726</v>
      </c>
    </row>
    <row r="653" spans="1:2" x14ac:dyDescent="0.3">
      <c r="A653">
        <f t="shared" si="20"/>
        <v>0.62351677912513637</v>
      </c>
      <c r="B653">
        <f t="shared" si="21"/>
        <v>1.0257300013970674</v>
      </c>
    </row>
    <row r="654" spans="1:2" x14ac:dyDescent="0.3">
      <c r="A654">
        <f t="shared" si="20"/>
        <v>0.6278045508116572</v>
      </c>
      <c r="B654">
        <f t="shared" si="21"/>
        <v>1.0273007977238624</v>
      </c>
    </row>
    <row r="655" spans="1:2" x14ac:dyDescent="0.3">
      <c r="A655">
        <f t="shared" si="20"/>
        <v>0.6321228645291066</v>
      </c>
      <c r="B655">
        <f t="shared" si="21"/>
        <v>1.0288715940506572</v>
      </c>
    </row>
    <row r="656" spans="1:2" x14ac:dyDescent="0.3">
      <c r="A656">
        <f t="shared" si="20"/>
        <v>0.63647198902532209</v>
      </c>
      <c r="B656">
        <f t="shared" si="21"/>
        <v>1.0304423903774522</v>
      </c>
    </row>
    <row r="657" spans="1:2" x14ac:dyDescent="0.3">
      <c r="A657">
        <f t="shared" si="20"/>
        <v>0.64085219617328981</v>
      </c>
      <c r="B657">
        <f t="shared" si="21"/>
        <v>1.032013186704247</v>
      </c>
    </row>
    <row r="658" spans="1:2" x14ac:dyDescent="0.3">
      <c r="A658">
        <f t="shared" si="20"/>
        <v>0.64526376101685856</v>
      </c>
      <c r="B658">
        <f t="shared" si="21"/>
        <v>1.033583983031042</v>
      </c>
    </row>
    <row r="659" spans="1:2" x14ac:dyDescent="0.3">
      <c r="A659">
        <f t="shared" si="20"/>
        <v>0.64970696181724619</v>
      </c>
      <c r="B659">
        <f t="shared" si="21"/>
        <v>1.0351547793578368</v>
      </c>
    </row>
    <row r="660" spans="1:2" x14ac:dyDescent="0.3">
      <c r="A660">
        <f t="shared" si="20"/>
        <v>0.6541820801003797</v>
      </c>
      <c r="B660">
        <f t="shared" si="21"/>
        <v>1.0367255756846319</v>
      </c>
    </row>
    <row r="661" spans="1:2" x14ac:dyDescent="0.3">
      <c r="A661">
        <f t="shared" si="20"/>
        <v>0.65868940070506032</v>
      </c>
      <c r="B661">
        <f t="shared" si="21"/>
        <v>1.0382963720114267</v>
      </c>
    </row>
    <row r="662" spans="1:2" x14ac:dyDescent="0.3">
      <c r="A662">
        <f t="shared" si="20"/>
        <v>0.66322921183199535</v>
      </c>
      <c r="B662">
        <f t="shared" si="21"/>
        <v>1.0398671683382217</v>
      </c>
    </row>
    <row r="663" spans="1:2" x14ac:dyDescent="0.3">
      <c r="A663">
        <f t="shared" si="20"/>
        <v>0.66780180509369158</v>
      </c>
      <c r="B663">
        <f t="shared" si="21"/>
        <v>1.0414379646650165</v>
      </c>
    </row>
    <row r="664" spans="1:2" x14ac:dyDescent="0.3">
      <c r="A664">
        <f t="shared" si="20"/>
        <v>0.67240747556525049</v>
      </c>
      <c r="B664">
        <f t="shared" si="21"/>
        <v>1.0430087609918113</v>
      </c>
    </row>
    <row r="665" spans="1:2" x14ac:dyDescent="0.3">
      <c r="A665">
        <f t="shared" si="20"/>
        <v>0.67704652183606528</v>
      </c>
      <c r="B665">
        <f t="shared" si="21"/>
        <v>1.0445795573186063</v>
      </c>
    </row>
    <row r="666" spans="1:2" x14ac:dyDescent="0.3">
      <c r="A666">
        <f t="shared" si="20"/>
        <v>0.68171924606244705</v>
      </c>
      <c r="B666">
        <f t="shared" si="21"/>
        <v>1.0461503536454011</v>
      </c>
    </row>
    <row r="667" spans="1:2" x14ac:dyDescent="0.3">
      <c r="A667">
        <f t="shared" si="20"/>
        <v>0.68642595402120632</v>
      </c>
      <c r="B667">
        <f t="shared" si="21"/>
        <v>1.0477211499721961</v>
      </c>
    </row>
    <row r="668" spans="1:2" x14ac:dyDescent="0.3">
      <c r="A668">
        <f t="shared" si="20"/>
        <v>0.69116695516419147</v>
      </c>
      <c r="B668">
        <f t="shared" si="21"/>
        <v>1.0492919462989909</v>
      </c>
    </row>
    <row r="669" spans="1:2" x14ac:dyDescent="0.3">
      <c r="A669">
        <f t="shared" si="20"/>
        <v>0.69594256267382826</v>
      </c>
      <c r="B669">
        <f t="shared" si="21"/>
        <v>1.0508627426257859</v>
      </c>
    </row>
    <row r="670" spans="1:2" x14ac:dyDescent="0.3">
      <c r="A670">
        <f t="shared" si="20"/>
        <v>0.70075309351965642</v>
      </c>
      <c r="B670">
        <f t="shared" si="21"/>
        <v>1.0524335389525807</v>
      </c>
    </row>
    <row r="671" spans="1:2" x14ac:dyDescent="0.3">
      <c r="A671">
        <f t="shared" si="20"/>
        <v>0.70559886851590914</v>
      </c>
      <c r="B671">
        <f t="shared" si="21"/>
        <v>1.0540043352793758</v>
      </c>
    </row>
    <row r="672" spans="1:2" x14ac:dyDescent="0.3">
      <c r="A672">
        <f t="shared" si="20"/>
        <v>0.71048021238013459</v>
      </c>
      <c r="B672">
        <f t="shared" si="21"/>
        <v>1.0555751316061706</v>
      </c>
    </row>
    <row r="673" spans="1:2" x14ac:dyDescent="0.3">
      <c r="A673">
        <f t="shared" si="20"/>
        <v>0.71539745379290376</v>
      </c>
      <c r="B673">
        <f t="shared" si="21"/>
        <v>1.0571459279329654</v>
      </c>
    </row>
    <row r="674" spans="1:2" x14ac:dyDescent="0.3">
      <c r="A674">
        <f t="shared" si="20"/>
        <v>0.72035092545860868</v>
      </c>
      <c r="B674">
        <f t="shared" si="21"/>
        <v>1.0587167242597604</v>
      </c>
    </row>
    <row r="675" spans="1:2" x14ac:dyDescent="0.3">
      <c r="A675">
        <f t="shared" si="20"/>
        <v>0.72534096416738558</v>
      </c>
      <c r="B675">
        <f t="shared" si="21"/>
        <v>1.0602875205865552</v>
      </c>
    </row>
    <row r="676" spans="1:2" x14ac:dyDescent="0.3">
      <c r="A676">
        <f t="shared" si="20"/>
        <v>0.73036791085818864</v>
      </c>
      <c r="B676">
        <f t="shared" si="21"/>
        <v>1.0618583169133502</v>
      </c>
    </row>
    <row r="677" spans="1:2" x14ac:dyDescent="0.3">
      <c r="A677">
        <f t="shared" si="20"/>
        <v>0.73543211068302683</v>
      </c>
      <c r="B677">
        <f t="shared" si="21"/>
        <v>1.063429113240145</v>
      </c>
    </row>
    <row r="678" spans="1:2" x14ac:dyDescent="0.3">
      <c r="A678">
        <f t="shared" si="20"/>
        <v>0.74053391307240934</v>
      </c>
      <c r="B678">
        <f t="shared" si="21"/>
        <v>1.06499990956694</v>
      </c>
    </row>
    <row r="679" spans="1:2" x14ac:dyDescent="0.3">
      <c r="A679">
        <f t="shared" si="20"/>
        <v>0.74567367180200028</v>
      </c>
      <c r="B679">
        <f t="shared" si="21"/>
        <v>1.0665707058937348</v>
      </c>
    </row>
    <row r="680" spans="1:2" x14ac:dyDescent="0.3">
      <c r="A680">
        <f t="shared" si="20"/>
        <v>0.75085174506053698</v>
      </c>
      <c r="B680">
        <f t="shared" si="21"/>
        <v>1.0681415022205298</v>
      </c>
    </row>
    <row r="681" spans="1:2" x14ac:dyDescent="0.3">
      <c r="A681">
        <f t="shared" si="20"/>
        <v>0.75606849551901334</v>
      </c>
      <c r="B681">
        <f t="shared" si="21"/>
        <v>1.0697122985473246</v>
      </c>
    </row>
    <row r="682" spans="1:2" x14ac:dyDescent="0.3">
      <c r="A682">
        <f t="shared" si="20"/>
        <v>0.76132429040117899</v>
      </c>
      <c r="B682">
        <f t="shared" si="21"/>
        <v>1.0712830948741194</v>
      </c>
    </row>
    <row r="683" spans="1:2" x14ac:dyDescent="0.3">
      <c r="A683">
        <f t="shared" si="20"/>
        <v>0.76661950155536562</v>
      </c>
      <c r="B683">
        <f t="shared" si="21"/>
        <v>1.0728538912009145</v>
      </c>
    </row>
    <row r="684" spans="1:2" x14ac:dyDescent="0.3">
      <c r="A684">
        <f t="shared" si="20"/>
        <v>0.77195450552767708</v>
      </c>
      <c r="B684">
        <f t="shared" si="21"/>
        <v>1.0744246875277093</v>
      </c>
    </row>
    <row r="685" spans="1:2" x14ac:dyDescent="0.3">
      <c r="A685">
        <f t="shared" si="20"/>
        <v>0.77732968363658173</v>
      </c>
      <c r="B685">
        <f t="shared" si="21"/>
        <v>1.0759954838545043</v>
      </c>
    </row>
    <row r="686" spans="1:2" x14ac:dyDescent="0.3">
      <c r="A686">
        <f t="shared" si="20"/>
        <v>0.78274542204891628</v>
      </c>
      <c r="B686">
        <f t="shared" si="21"/>
        <v>1.0775662801812991</v>
      </c>
    </row>
    <row r="687" spans="1:2" x14ac:dyDescent="0.3">
      <c r="A687">
        <f t="shared" si="20"/>
        <v>0.78820211185736233</v>
      </c>
      <c r="B687">
        <f t="shared" si="21"/>
        <v>1.0791370765080941</v>
      </c>
    </row>
    <row r="688" spans="1:2" x14ac:dyDescent="0.3">
      <c r="A688">
        <f t="shared" si="20"/>
        <v>0.79370014915939646</v>
      </c>
      <c r="B688">
        <f t="shared" si="21"/>
        <v>1.0807078728348889</v>
      </c>
    </row>
    <row r="689" spans="1:2" x14ac:dyDescent="0.3">
      <c r="A689">
        <f t="shared" si="20"/>
        <v>0.79923993513777991</v>
      </c>
      <c r="B689">
        <f t="shared" si="21"/>
        <v>1.0822786691616839</v>
      </c>
    </row>
    <row r="690" spans="1:2" x14ac:dyDescent="0.3">
      <c r="A690">
        <f t="shared" si="20"/>
        <v>0.80482187614258915</v>
      </c>
      <c r="B690">
        <f t="shared" si="21"/>
        <v>1.0838494654884787</v>
      </c>
    </row>
    <row r="691" spans="1:2" x14ac:dyDescent="0.3">
      <c r="A691">
        <f t="shared" si="20"/>
        <v>0.81044638377485545</v>
      </c>
      <c r="B691">
        <f t="shared" si="21"/>
        <v>1.0854202618152735</v>
      </c>
    </row>
    <row r="692" spans="1:2" x14ac:dyDescent="0.3">
      <c r="A692">
        <f t="shared" si="20"/>
        <v>0.81611387497182175</v>
      </c>
      <c r="B692">
        <f t="shared" si="21"/>
        <v>1.0869910581420685</v>
      </c>
    </row>
    <row r="693" spans="1:2" x14ac:dyDescent="0.3">
      <c r="A693">
        <f t="shared" si="20"/>
        <v>0.82182477209386917</v>
      </c>
      <c r="B693">
        <f t="shared" si="21"/>
        <v>1.0885618544688633</v>
      </c>
    </row>
    <row r="694" spans="1:2" x14ac:dyDescent="0.3">
      <c r="A694">
        <f t="shared" si="20"/>
        <v>0.82757950301315319</v>
      </c>
      <c r="B694">
        <f t="shared" si="21"/>
        <v>1.0901326507956584</v>
      </c>
    </row>
    <row r="695" spans="1:2" x14ac:dyDescent="0.3">
      <c r="A695">
        <f t="shared" si="20"/>
        <v>0.83337850120397228</v>
      </c>
      <c r="B695">
        <f t="shared" si="21"/>
        <v>1.0917034471224532</v>
      </c>
    </row>
    <row r="696" spans="1:2" x14ac:dyDescent="0.3">
      <c r="A696">
        <f t="shared" si="20"/>
        <v>0.83922220583493434</v>
      </c>
      <c r="B696">
        <f t="shared" si="21"/>
        <v>1.0932742434492482</v>
      </c>
    </row>
    <row r="697" spans="1:2" x14ac:dyDescent="0.3">
      <c r="A697">
        <f t="shared" si="20"/>
        <v>0.84511106186293272</v>
      </c>
      <c r="B697">
        <f t="shared" si="21"/>
        <v>1.094845039776043</v>
      </c>
    </row>
    <row r="698" spans="1:2" x14ac:dyDescent="0.3">
      <c r="A698">
        <f t="shared" si="20"/>
        <v>0.85104552012900392</v>
      </c>
      <c r="B698">
        <f t="shared" si="21"/>
        <v>1.096415836102838</v>
      </c>
    </row>
    <row r="699" spans="1:2" x14ac:dyDescent="0.3">
      <c r="A699">
        <f t="shared" si="20"/>
        <v>0.8570260374560823</v>
      </c>
      <c r="B699">
        <f t="shared" si="21"/>
        <v>1.0979866324296328</v>
      </c>
    </row>
    <row r="700" spans="1:2" x14ac:dyDescent="0.3">
      <c r="A700">
        <f t="shared" si="20"/>
        <v>0.86305307674872278</v>
      </c>
      <c r="B700">
        <f t="shared" si="21"/>
        <v>1.0995574287564276</v>
      </c>
    </row>
    <row r="701" spans="1:2" x14ac:dyDescent="0.3">
      <c r="A701">
        <f t="shared" si="20"/>
        <v>0.869127107094815</v>
      </c>
      <c r="B701">
        <f t="shared" si="21"/>
        <v>1.1011282250832226</v>
      </c>
    </row>
    <row r="702" spans="1:2" x14ac:dyDescent="0.3">
      <c r="A702">
        <f t="shared" si="20"/>
        <v>0.87524860386934655</v>
      </c>
      <c r="B702">
        <f t="shared" si="21"/>
        <v>1.1026990214100174</v>
      </c>
    </row>
    <row r="703" spans="1:2" x14ac:dyDescent="0.3">
      <c r="A703">
        <f t="shared" si="20"/>
        <v>0.88141804884027075</v>
      </c>
      <c r="B703">
        <f t="shared" si="21"/>
        <v>1.1042698177368124</v>
      </c>
    </row>
    <row r="704" spans="1:2" x14ac:dyDescent="0.3">
      <c r="A704">
        <f t="shared" si="20"/>
        <v>0.88763593027650511</v>
      </c>
      <c r="B704">
        <f t="shared" si="21"/>
        <v>1.105840614063607</v>
      </c>
    </row>
    <row r="705" spans="1:2" x14ac:dyDescent="0.3">
      <c r="A705">
        <f t="shared" si="20"/>
        <v>0.89390274305814721</v>
      </c>
      <c r="B705">
        <f t="shared" si="21"/>
        <v>1.107411410390402</v>
      </c>
    </row>
    <row r="706" spans="1:2" x14ac:dyDescent="0.3">
      <c r="A706">
        <f t="shared" ref="A706:A769" si="22">TAN(B706)-B706</f>
        <v>0.90021898878891315</v>
      </c>
      <c r="B706">
        <f t="shared" ref="B706:B769" si="23">ROW()*0.001*PI()/2</f>
        <v>1.1089822067171968</v>
      </c>
    </row>
    <row r="707" spans="1:2" x14ac:dyDescent="0.3">
      <c r="A707">
        <f t="shared" si="22"/>
        <v>0.90658517591090715</v>
      </c>
      <c r="B707">
        <f t="shared" si="23"/>
        <v>1.1105530030439918</v>
      </c>
    </row>
    <row r="708" spans="1:2" x14ac:dyDescent="0.3">
      <c r="A708">
        <f t="shared" si="22"/>
        <v>0.91300181982172268</v>
      </c>
      <c r="B708">
        <f t="shared" si="23"/>
        <v>1.1121237993707866</v>
      </c>
    </row>
    <row r="709" spans="1:2" x14ac:dyDescent="0.3">
      <c r="A709">
        <f t="shared" si="22"/>
        <v>0.91946944299398137</v>
      </c>
      <c r="B709">
        <f t="shared" si="23"/>
        <v>1.1136945956975817</v>
      </c>
    </row>
    <row r="710" spans="1:2" x14ac:dyDescent="0.3">
      <c r="A710">
        <f t="shared" si="22"/>
        <v>0.92598857509732602</v>
      </c>
      <c r="B710">
        <f t="shared" si="23"/>
        <v>1.1152653920243765</v>
      </c>
    </row>
    <row r="711" spans="1:2" x14ac:dyDescent="0.3">
      <c r="A711">
        <f t="shared" si="22"/>
        <v>0.93255975312296013</v>
      </c>
      <c r="B711">
        <f t="shared" si="23"/>
        <v>1.1168361883511715</v>
      </c>
    </row>
    <row r="712" spans="1:2" x14ac:dyDescent="0.3">
      <c r="A712">
        <f t="shared" si="22"/>
        <v>0.93918352151077067</v>
      </c>
      <c r="B712">
        <f t="shared" si="23"/>
        <v>1.1184069846779663</v>
      </c>
    </row>
    <row r="713" spans="1:2" x14ac:dyDescent="0.3">
      <c r="A713">
        <f t="shared" si="22"/>
        <v>0.94586043227911909</v>
      </c>
      <c r="B713">
        <f t="shared" si="23"/>
        <v>1.1199777810047611</v>
      </c>
    </row>
    <row r="714" spans="1:2" x14ac:dyDescent="0.3">
      <c r="A714">
        <f t="shared" si="22"/>
        <v>0.95259104515734805</v>
      </c>
      <c r="B714">
        <f t="shared" si="23"/>
        <v>1.1215485773315561</v>
      </c>
    </row>
    <row r="715" spans="1:2" x14ac:dyDescent="0.3">
      <c r="A715">
        <f t="shared" si="22"/>
        <v>0.95937592772107649</v>
      </c>
      <c r="B715">
        <f t="shared" si="23"/>
        <v>1.1231193736583509</v>
      </c>
    </row>
    <row r="716" spans="1:2" x14ac:dyDescent="0.3">
      <c r="A716">
        <f t="shared" si="22"/>
        <v>0.96621565553036315</v>
      </c>
      <c r="B716">
        <f t="shared" si="23"/>
        <v>1.1246901699851459</v>
      </c>
    </row>
    <row r="717" spans="1:2" x14ac:dyDescent="0.3">
      <c r="A717">
        <f t="shared" si="22"/>
        <v>0.97311081227078255</v>
      </c>
      <c r="B717">
        <f t="shared" si="23"/>
        <v>1.1262609663119407</v>
      </c>
    </row>
    <row r="718" spans="1:2" x14ac:dyDescent="0.3">
      <c r="A718">
        <f t="shared" si="22"/>
        <v>0.98006198989752225</v>
      </c>
      <c r="B718">
        <f t="shared" si="23"/>
        <v>1.1278317626387357</v>
      </c>
    </row>
    <row r="719" spans="1:2" x14ac:dyDescent="0.3">
      <c r="A719">
        <f t="shared" si="22"/>
        <v>0.98706978878253748</v>
      </c>
      <c r="B719">
        <f t="shared" si="23"/>
        <v>1.1294025589655305</v>
      </c>
    </row>
    <row r="720" spans="1:2" x14ac:dyDescent="0.3">
      <c r="A720">
        <f t="shared" si="22"/>
        <v>0.99413481786487723</v>
      </c>
      <c r="B720">
        <f t="shared" si="23"/>
        <v>1.1309733552923256</v>
      </c>
    </row>
    <row r="721" spans="1:2" x14ac:dyDescent="0.3">
      <c r="A721">
        <f t="shared" si="22"/>
        <v>1.001257694804224</v>
      </c>
      <c r="B721">
        <f t="shared" si="23"/>
        <v>1.1325441516191204</v>
      </c>
    </row>
    <row r="722" spans="1:2" x14ac:dyDescent="0.3">
      <c r="A722">
        <f t="shared" si="22"/>
        <v>1.0084390461377679</v>
      </c>
      <c r="B722">
        <f t="shared" si="23"/>
        <v>1.1341149479459154</v>
      </c>
    </row>
    <row r="723" spans="1:2" x14ac:dyDescent="0.3">
      <c r="A723">
        <f t="shared" si="22"/>
        <v>1.0156795074404585</v>
      </c>
      <c r="B723">
        <f t="shared" si="23"/>
        <v>1.1356857442727102</v>
      </c>
    </row>
    <row r="724" spans="1:2" x14ac:dyDescent="0.3">
      <c r="A724">
        <f t="shared" si="22"/>
        <v>1.0229797234887568</v>
      </c>
      <c r="B724">
        <f t="shared" si="23"/>
        <v>1.137256540599505</v>
      </c>
    </row>
    <row r="725" spans="1:2" x14ac:dyDescent="0.3">
      <c r="A725">
        <f t="shared" si="22"/>
        <v>1.030340348427951</v>
      </c>
      <c r="B725">
        <f t="shared" si="23"/>
        <v>1.1388273369263</v>
      </c>
    </row>
    <row r="726" spans="1:2" x14ac:dyDescent="0.3">
      <c r="A726">
        <f t="shared" si="22"/>
        <v>1.0377620459431347</v>
      </c>
      <c r="B726">
        <f t="shared" si="23"/>
        <v>1.1403981332530948</v>
      </c>
    </row>
    <row r="727" spans="1:2" x14ac:dyDescent="0.3">
      <c r="A727">
        <f t="shared" si="22"/>
        <v>1.045245489433952</v>
      </c>
      <c r="B727">
        <f t="shared" si="23"/>
        <v>1.1419689295798898</v>
      </c>
    </row>
    <row r="728" spans="1:2" x14ac:dyDescent="0.3">
      <c r="A728">
        <f t="shared" si="22"/>
        <v>1.0527913621931848</v>
      </c>
      <c r="B728">
        <f t="shared" si="23"/>
        <v>1.1435397259066846</v>
      </c>
    </row>
    <row r="729" spans="1:2" x14ac:dyDescent="0.3">
      <c r="A729">
        <f t="shared" si="22"/>
        <v>1.0604003575893086</v>
      </c>
      <c r="B729">
        <f t="shared" si="23"/>
        <v>1.1451105222334796</v>
      </c>
    </row>
    <row r="730" spans="1:2" x14ac:dyDescent="0.3">
      <c r="A730">
        <f t="shared" si="22"/>
        <v>1.0680731792530864</v>
      </c>
      <c r="B730">
        <f t="shared" si="23"/>
        <v>1.1466813185602744</v>
      </c>
    </row>
    <row r="731" spans="1:2" x14ac:dyDescent="0.3">
      <c r="A731">
        <f t="shared" si="22"/>
        <v>1.0758105412683467</v>
      </c>
      <c r="B731">
        <f t="shared" si="23"/>
        <v>1.1482521148870695</v>
      </c>
    </row>
    <row r="732" spans="1:2" x14ac:dyDescent="0.3">
      <c r="A732">
        <f t="shared" si="22"/>
        <v>1.0836131683670089</v>
      </c>
      <c r="B732">
        <f t="shared" si="23"/>
        <v>1.1498229112138643</v>
      </c>
    </row>
    <row r="733" spans="1:2" x14ac:dyDescent="0.3">
      <c r="A733">
        <f t="shared" si="22"/>
        <v>1.0914817961285133</v>
      </c>
      <c r="B733">
        <f t="shared" si="23"/>
        <v>1.1513937075406591</v>
      </c>
    </row>
    <row r="734" spans="1:2" x14ac:dyDescent="0.3">
      <c r="A734">
        <f t="shared" si="22"/>
        <v>1.0994171711837353</v>
      </c>
      <c r="B734">
        <f t="shared" si="23"/>
        <v>1.1529645038674541</v>
      </c>
    </row>
    <row r="735" spans="1:2" x14ac:dyDescent="0.3">
      <c r="A735">
        <f t="shared" si="22"/>
        <v>1.1074200514235149</v>
      </c>
      <c r="B735">
        <f t="shared" si="23"/>
        <v>1.1545353001942489</v>
      </c>
    </row>
    <row r="736" spans="1:2" x14ac:dyDescent="0.3">
      <c r="A736">
        <f t="shared" si="22"/>
        <v>1.1154912062119426</v>
      </c>
      <c r="B736">
        <f t="shared" si="23"/>
        <v>1.1561060965210439</v>
      </c>
    </row>
    <row r="737" spans="1:2" x14ac:dyDescent="0.3">
      <c r="A737">
        <f t="shared" si="22"/>
        <v>1.1236314166044874</v>
      </c>
      <c r="B737">
        <f t="shared" si="23"/>
        <v>1.1576768928478387</v>
      </c>
    </row>
    <row r="738" spans="1:2" x14ac:dyDescent="0.3">
      <c r="A738">
        <f t="shared" si="22"/>
        <v>1.1318414755711415</v>
      </c>
      <c r="B738">
        <f t="shared" si="23"/>
        <v>1.1592476891746337</v>
      </c>
    </row>
    <row r="739" spans="1:2" x14ac:dyDescent="0.3">
      <c r="A739">
        <f t="shared" si="22"/>
        <v>1.1401221882246773</v>
      </c>
      <c r="B739">
        <f t="shared" si="23"/>
        <v>1.1608184855014285</v>
      </c>
    </row>
    <row r="740" spans="1:2" x14ac:dyDescent="0.3">
      <c r="A740">
        <f t="shared" si="22"/>
        <v>1.1484743720541872</v>
      </c>
      <c r="B740">
        <f t="shared" si="23"/>
        <v>1.1623892818282235</v>
      </c>
    </row>
    <row r="741" spans="1:2" x14ac:dyDescent="0.3">
      <c r="A741">
        <f t="shared" si="22"/>
        <v>1.1568988571640184</v>
      </c>
      <c r="B741">
        <f t="shared" si="23"/>
        <v>1.1639600781550183</v>
      </c>
    </row>
    <row r="742" spans="1:2" x14ac:dyDescent="0.3">
      <c r="A742">
        <f t="shared" si="22"/>
        <v>1.1653964865182775</v>
      </c>
      <c r="B742">
        <f t="shared" si="23"/>
        <v>1.1655308744818131</v>
      </c>
    </row>
    <row r="743" spans="1:2" x14ac:dyDescent="0.3">
      <c r="A743">
        <f t="shared" si="22"/>
        <v>1.1739681161910369</v>
      </c>
      <c r="B743">
        <f t="shared" si="23"/>
        <v>1.1671016708086082</v>
      </c>
    </row>
    <row r="744" spans="1:2" x14ac:dyDescent="0.3">
      <c r="A744">
        <f t="shared" si="22"/>
        <v>1.1826146156224</v>
      </c>
      <c r="B744">
        <f t="shared" si="23"/>
        <v>1.168672467135403</v>
      </c>
    </row>
    <row r="745" spans="1:2" x14ac:dyDescent="0.3">
      <c r="A745">
        <f t="shared" si="22"/>
        <v>1.191336867880608</v>
      </c>
      <c r="B745">
        <f t="shared" si="23"/>
        <v>1.170243263462198</v>
      </c>
    </row>
    <row r="746" spans="1:2" x14ac:dyDescent="0.3">
      <c r="A746">
        <f t="shared" si="22"/>
        <v>1.2001357699303146</v>
      </c>
      <c r="B746">
        <f t="shared" si="23"/>
        <v>1.1718140597889928</v>
      </c>
    </row>
    <row r="747" spans="1:2" x14ac:dyDescent="0.3">
      <c r="A747">
        <f t="shared" si="22"/>
        <v>1.2090122329072492</v>
      </c>
      <c r="B747">
        <f t="shared" si="23"/>
        <v>1.1733848561157878</v>
      </c>
    </row>
    <row r="748" spans="1:2" x14ac:dyDescent="0.3">
      <c r="A748">
        <f t="shared" si="22"/>
        <v>1.2179671823993943</v>
      </c>
      <c r="B748">
        <f t="shared" si="23"/>
        <v>1.1749556524425826</v>
      </c>
    </row>
    <row r="749" spans="1:2" x14ac:dyDescent="0.3">
      <c r="A749">
        <f t="shared" si="22"/>
        <v>1.227001558734905</v>
      </c>
      <c r="B749">
        <f t="shared" si="23"/>
        <v>1.1765264487693776</v>
      </c>
    </row>
    <row r="750" spans="1:2" x14ac:dyDescent="0.3">
      <c r="A750">
        <f t="shared" si="22"/>
        <v>1.2361163172769225</v>
      </c>
      <c r="B750">
        <f t="shared" si="23"/>
        <v>1.1780972450961724</v>
      </c>
    </row>
    <row r="751" spans="1:2" x14ac:dyDescent="0.3">
      <c r="A751">
        <f t="shared" si="22"/>
        <v>1.2453124287255033</v>
      </c>
      <c r="B751">
        <f t="shared" si="23"/>
        <v>1.1796680414229672</v>
      </c>
    </row>
    <row r="752" spans="1:2" x14ac:dyDescent="0.3">
      <c r="A752">
        <f t="shared" si="22"/>
        <v>1.2545908794268488</v>
      </c>
      <c r="B752">
        <f t="shared" si="23"/>
        <v>1.1812388377497622</v>
      </c>
    </row>
    <row r="753" spans="1:2" x14ac:dyDescent="0.3">
      <c r="A753">
        <f t="shared" si="22"/>
        <v>1.2639526716900387</v>
      </c>
      <c r="B753">
        <f t="shared" si="23"/>
        <v>1.182809634076557</v>
      </c>
    </row>
    <row r="754" spans="1:2" x14ac:dyDescent="0.3">
      <c r="A754">
        <f t="shared" si="22"/>
        <v>1.2733988241115064</v>
      </c>
      <c r="B754">
        <f t="shared" si="23"/>
        <v>1.1843804304033521</v>
      </c>
    </row>
    <row r="755" spans="1:2" x14ac:dyDescent="0.3">
      <c r="A755">
        <f t="shared" si="22"/>
        <v>1.2829303719074421</v>
      </c>
      <c r="B755">
        <f t="shared" si="23"/>
        <v>1.1859512267301469</v>
      </c>
    </row>
    <row r="756" spans="1:2" x14ac:dyDescent="0.3">
      <c r="A756">
        <f t="shared" si="22"/>
        <v>1.2925483672543876</v>
      </c>
      <c r="B756">
        <f t="shared" si="23"/>
        <v>1.1875220230569419</v>
      </c>
    </row>
    <row r="757" spans="1:2" x14ac:dyDescent="0.3">
      <c r="A757">
        <f t="shared" si="22"/>
        <v>1.3022538796382201</v>
      </c>
      <c r="B757">
        <f t="shared" si="23"/>
        <v>1.1890928193837367</v>
      </c>
    </row>
    <row r="758" spans="1:2" x14ac:dyDescent="0.3">
      <c r="A758">
        <f t="shared" si="22"/>
        <v>1.3120479962118132</v>
      </c>
      <c r="B758">
        <f t="shared" si="23"/>
        <v>1.1906636157105317</v>
      </c>
    </row>
    <row r="759" spans="1:2" x14ac:dyDescent="0.3">
      <c r="A759">
        <f t="shared" si="22"/>
        <v>1.3219318221615772</v>
      </c>
      <c r="B759">
        <f t="shared" si="23"/>
        <v>1.1922344120373265</v>
      </c>
    </row>
    <row r="760" spans="1:2" x14ac:dyDescent="0.3">
      <c r="A760">
        <f t="shared" si="22"/>
        <v>1.3319064810831827</v>
      </c>
      <c r="B760">
        <f t="shared" si="23"/>
        <v>1.1938052083641213</v>
      </c>
    </row>
    <row r="761" spans="1:2" x14ac:dyDescent="0.3">
      <c r="A761">
        <f t="shared" si="22"/>
        <v>1.341973115366706</v>
      </c>
      <c r="B761">
        <f t="shared" si="23"/>
        <v>1.1953760046909163</v>
      </c>
    </row>
    <row r="762" spans="1:2" x14ac:dyDescent="0.3">
      <c r="A762">
        <f t="shared" si="22"/>
        <v>1.3521328865914815</v>
      </c>
      <c r="B762">
        <f t="shared" si="23"/>
        <v>1.1969468010177111</v>
      </c>
    </row>
    <row r="763" spans="1:2" x14ac:dyDescent="0.3">
      <c r="A763">
        <f t="shared" si="22"/>
        <v>1.3623869759309657</v>
      </c>
      <c r="B763">
        <f t="shared" si="23"/>
        <v>1.1985175973445061</v>
      </c>
    </row>
    <row r="764" spans="1:2" x14ac:dyDescent="0.3">
      <c r="A764">
        <f t="shared" si="22"/>
        <v>1.3727365845678707</v>
      </c>
      <c r="B764">
        <f t="shared" si="23"/>
        <v>1.2000883936713009</v>
      </c>
    </row>
    <row r="765" spans="1:2" x14ac:dyDescent="0.3">
      <c r="A765">
        <f t="shared" si="22"/>
        <v>1.3831829341199235</v>
      </c>
      <c r="B765">
        <f t="shared" si="23"/>
        <v>1.201659189998096</v>
      </c>
    </row>
    <row r="766" spans="1:2" x14ac:dyDescent="0.3">
      <c r="A766">
        <f t="shared" si="22"/>
        <v>1.3937272670765151</v>
      </c>
      <c r="B766">
        <f t="shared" si="23"/>
        <v>1.2032299863248908</v>
      </c>
    </row>
    <row r="767" spans="1:2" x14ac:dyDescent="0.3">
      <c r="A767">
        <f t="shared" si="22"/>
        <v>1.4043708472466192</v>
      </c>
      <c r="B767">
        <f t="shared" si="23"/>
        <v>1.2048007826516858</v>
      </c>
    </row>
    <row r="768" spans="1:2" x14ac:dyDescent="0.3">
      <c r="A768">
        <f t="shared" si="22"/>
        <v>1.4151149602182711</v>
      </c>
      <c r="B768">
        <f t="shared" si="23"/>
        <v>1.2063715789784806</v>
      </c>
    </row>
    <row r="769" spans="1:2" x14ac:dyDescent="0.3">
      <c r="A769">
        <f t="shared" si="22"/>
        <v>1.4259609138300027</v>
      </c>
      <c r="B769">
        <f t="shared" si="23"/>
        <v>1.2079423753052754</v>
      </c>
    </row>
    <row r="770" spans="1:2" x14ac:dyDescent="0.3">
      <c r="A770">
        <f t="shared" ref="A770:A833" si="24">TAN(B770)-B770</f>
        <v>1.4369100386545612</v>
      </c>
      <c r="B770">
        <f t="shared" ref="B770:B833" si="25">ROW()*0.001*PI()/2</f>
        <v>1.2095131716320704</v>
      </c>
    </row>
    <row r="771" spans="1:2" x14ac:dyDescent="0.3">
      <c r="A771">
        <f t="shared" si="24"/>
        <v>1.4479636884953029</v>
      </c>
      <c r="B771">
        <f t="shared" si="25"/>
        <v>1.2110839679588652</v>
      </c>
    </row>
    <row r="772" spans="1:2" x14ac:dyDescent="0.3">
      <c r="A772">
        <f t="shared" si="24"/>
        <v>1.4591232408956607</v>
      </c>
      <c r="B772">
        <f t="shared" si="25"/>
        <v>1.2126547642856602</v>
      </c>
    </row>
    <row r="773" spans="1:2" x14ac:dyDescent="0.3">
      <c r="A773">
        <f t="shared" si="24"/>
        <v>1.4703900976620599</v>
      </c>
      <c r="B773">
        <f t="shared" si="25"/>
        <v>1.214225560612455</v>
      </c>
    </row>
    <row r="774" spans="1:2" x14ac:dyDescent="0.3">
      <c r="A774">
        <f t="shared" si="24"/>
        <v>1.4817656854007393</v>
      </c>
      <c r="B774">
        <f t="shared" si="25"/>
        <v>1.21579635693925</v>
      </c>
    </row>
    <row r="775" spans="1:2" x14ac:dyDescent="0.3">
      <c r="A775">
        <f t="shared" si="24"/>
        <v>1.4932514560688601</v>
      </c>
      <c r="B775">
        <f t="shared" si="25"/>
        <v>1.2173671532660448</v>
      </c>
    </row>
    <row r="776" spans="1:2" x14ac:dyDescent="0.3">
      <c r="A776">
        <f t="shared" si="24"/>
        <v>1.5048488875404069</v>
      </c>
      <c r="B776">
        <f t="shared" si="25"/>
        <v>1.2189379495928399</v>
      </c>
    </row>
    <row r="777" spans="1:2" x14ac:dyDescent="0.3">
      <c r="A777">
        <f t="shared" si="24"/>
        <v>1.5165594841872823</v>
      </c>
      <c r="B777">
        <f t="shared" si="25"/>
        <v>1.2205087459196347</v>
      </c>
    </row>
    <row r="778" spans="1:2" x14ac:dyDescent="0.3">
      <c r="A778">
        <f t="shared" si="24"/>
        <v>1.5283847774761394</v>
      </c>
      <c r="B778">
        <f t="shared" si="25"/>
        <v>1.2220795422464295</v>
      </c>
    </row>
    <row r="779" spans="1:2" x14ac:dyDescent="0.3">
      <c r="A779">
        <f t="shared" si="24"/>
        <v>1.5403263265813931</v>
      </c>
      <c r="B779">
        <f t="shared" si="25"/>
        <v>1.2236503385732245</v>
      </c>
    </row>
    <row r="780" spans="1:2" x14ac:dyDescent="0.3">
      <c r="A780">
        <f t="shared" si="24"/>
        <v>1.552385719014955</v>
      </c>
      <c r="B780">
        <f t="shared" si="25"/>
        <v>1.2252211349000193</v>
      </c>
    </row>
    <row r="781" spans="1:2" x14ac:dyDescent="0.3">
      <c r="A781">
        <f t="shared" si="24"/>
        <v>1.5645645712732357</v>
      </c>
      <c r="B781">
        <f t="shared" si="25"/>
        <v>1.2267919312268143</v>
      </c>
    </row>
    <row r="782" spans="1:2" x14ac:dyDescent="0.3">
      <c r="A782">
        <f t="shared" si="24"/>
        <v>1.5768645295019317</v>
      </c>
      <c r="B782">
        <f t="shared" si="25"/>
        <v>1.2283627275536091</v>
      </c>
    </row>
    <row r="783" spans="1:2" x14ac:dyDescent="0.3">
      <c r="A783">
        <f t="shared" si="24"/>
        <v>1.5892872701792162</v>
      </c>
      <c r="B783">
        <f t="shared" si="25"/>
        <v>1.2299335238804041</v>
      </c>
    </row>
    <row r="784" spans="1:2" x14ac:dyDescent="0.3">
      <c r="A784">
        <f t="shared" si="24"/>
        <v>1.6018345008178849</v>
      </c>
      <c r="B784">
        <f t="shared" si="25"/>
        <v>1.2315043202071989</v>
      </c>
    </row>
    <row r="785" spans="1:2" x14ac:dyDescent="0.3">
      <c r="A785">
        <f t="shared" si="24"/>
        <v>1.6145079606871193</v>
      </c>
      <c r="B785">
        <f t="shared" si="25"/>
        <v>1.2330751165339939</v>
      </c>
    </row>
    <row r="786" spans="1:2" x14ac:dyDescent="0.3">
      <c r="A786">
        <f t="shared" si="24"/>
        <v>1.6273094215544623</v>
      </c>
      <c r="B786">
        <f t="shared" si="25"/>
        <v>1.2346459128607887</v>
      </c>
    </row>
    <row r="787" spans="1:2" x14ac:dyDescent="0.3">
      <c r="A787">
        <f t="shared" si="24"/>
        <v>1.6402406884487217</v>
      </c>
      <c r="B787">
        <f t="shared" si="25"/>
        <v>1.2362167091875838</v>
      </c>
    </row>
    <row r="788" spans="1:2" x14ac:dyDescent="0.3">
      <c r="A788">
        <f t="shared" si="24"/>
        <v>1.6533036004444346</v>
      </c>
      <c r="B788">
        <f t="shared" si="25"/>
        <v>1.2377875055143785</v>
      </c>
    </row>
    <row r="789" spans="1:2" x14ac:dyDescent="0.3">
      <c r="A789">
        <f t="shared" si="24"/>
        <v>1.6665000314686667</v>
      </c>
      <c r="B789">
        <f t="shared" si="25"/>
        <v>1.2393583018411733</v>
      </c>
    </row>
    <row r="790" spans="1:2" x14ac:dyDescent="0.3">
      <c r="A790">
        <f t="shared" si="24"/>
        <v>1.6798318911308483</v>
      </c>
      <c r="B790">
        <f t="shared" si="25"/>
        <v>1.2409290981679684</v>
      </c>
    </row>
    <row r="791" spans="1:2" x14ac:dyDescent="0.3">
      <c r="A791">
        <f t="shared" si="24"/>
        <v>1.6933011255764274</v>
      </c>
      <c r="B791">
        <f t="shared" si="25"/>
        <v>1.2424998944947632</v>
      </c>
    </row>
    <row r="792" spans="1:2" x14ac:dyDescent="0.3">
      <c r="A792">
        <f t="shared" si="24"/>
        <v>1.7069097183651694</v>
      </c>
      <c r="B792">
        <f t="shared" si="25"/>
        <v>1.2440706908215582</v>
      </c>
    </row>
    <row r="793" spans="1:2" x14ac:dyDescent="0.3">
      <c r="A793">
        <f t="shared" si="24"/>
        <v>1.7206596913748864</v>
      </c>
      <c r="B793">
        <f t="shared" si="25"/>
        <v>1.245641487148353</v>
      </c>
    </row>
    <row r="794" spans="1:2" x14ac:dyDescent="0.3">
      <c r="A794">
        <f t="shared" si="24"/>
        <v>1.7345531057315182</v>
      </c>
      <c r="B794">
        <f t="shared" si="25"/>
        <v>1.247212283475148</v>
      </c>
    </row>
    <row r="795" spans="1:2" x14ac:dyDescent="0.3">
      <c r="A795">
        <f t="shared" si="24"/>
        <v>1.748592062766404</v>
      </c>
      <c r="B795">
        <f t="shared" si="25"/>
        <v>1.2487830798019428</v>
      </c>
    </row>
    <row r="796" spans="1:2" x14ac:dyDescent="0.3">
      <c r="A796">
        <f t="shared" si="24"/>
        <v>1.7627787050017412</v>
      </c>
      <c r="B796">
        <f t="shared" si="25"/>
        <v>1.2503538761287378</v>
      </c>
    </row>
    <row r="797" spans="1:2" x14ac:dyDescent="0.3">
      <c r="A797">
        <f t="shared" si="24"/>
        <v>1.7771152171651401</v>
      </c>
      <c r="B797">
        <f t="shared" si="25"/>
        <v>1.2519246724555326</v>
      </c>
    </row>
    <row r="798" spans="1:2" x14ac:dyDescent="0.3">
      <c r="A798">
        <f t="shared" si="24"/>
        <v>1.7916038272343398</v>
      </c>
      <c r="B798">
        <f t="shared" si="25"/>
        <v>1.2534954687823274</v>
      </c>
    </row>
    <row r="799" spans="1:2" x14ac:dyDescent="0.3">
      <c r="A799">
        <f t="shared" si="24"/>
        <v>1.8062468075130953</v>
      </c>
      <c r="B799">
        <f t="shared" si="25"/>
        <v>1.2550662651091224</v>
      </c>
    </row>
    <row r="800" spans="1:2" x14ac:dyDescent="0.3">
      <c r="A800">
        <f t="shared" si="24"/>
        <v>1.8210464757393354</v>
      </c>
      <c r="B800">
        <f t="shared" si="25"/>
        <v>1.2566370614359172</v>
      </c>
    </row>
    <row r="801" spans="1:2" x14ac:dyDescent="0.3">
      <c r="A801">
        <f t="shared" si="24"/>
        <v>1.8360051962267578</v>
      </c>
      <c r="B801">
        <f t="shared" si="25"/>
        <v>1.2582078577627123</v>
      </c>
    </row>
    <row r="802" spans="1:2" x14ac:dyDescent="0.3">
      <c r="A802">
        <f t="shared" si="24"/>
        <v>1.8511253810409827</v>
      </c>
      <c r="B802">
        <f t="shared" si="25"/>
        <v>1.2597786540895071</v>
      </c>
    </row>
    <row r="803" spans="1:2" x14ac:dyDescent="0.3">
      <c r="A803">
        <f t="shared" si="24"/>
        <v>1.8664094912115634</v>
      </c>
      <c r="B803">
        <f t="shared" si="25"/>
        <v>1.2613494504163021</v>
      </c>
    </row>
    <row r="804" spans="1:2" x14ac:dyDescent="0.3">
      <c r="A804">
        <f t="shared" si="24"/>
        <v>1.8818600379810673</v>
      </c>
      <c r="B804">
        <f t="shared" si="25"/>
        <v>1.2629202467430969</v>
      </c>
    </row>
    <row r="805" spans="1:2" x14ac:dyDescent="0.3">
      <c r="A805">
        <f t="shared" si="24"/>
        <v>1.8974795840926209</v>
      </c>
      <c r="B805">
        <f t="shared" si="25"/>
        <v>1.2644910430698919</v>
      </c>
    </row>
    <row r="806" spans="1:2" x14ac:dyDescent="0.3">
      <c r="A806">
        <f t="shared" si="24"/>
        <v>1.9132707451172422</v>
      </c>
      <c r="B806">
        <f t="shared" si="25"/>
        <v>1.2660618393966867</v>
      </c>
    </row>
    <row r="807" spans="1:2" x14ac:dyDescent="0.3">
      <c r="A807">
        <f t="shared" si="24"/>
        <v>1.9292361908224713</v>
      </c>
      <c r="B807">
        <f t="shared" si="25"/>
        <v>1.2676326357234815</v>
      </c>
    </row>
    <row r="808" spans="1:2" x14ac:dyDescent="0.3">
      <c r="A808">
        <f t="shared" si="24"/>
        <v>1.9453786465837482</v>
      </c>
      <c r="B808">
        <f t="shared" si="25"/>
        <v>1.2692034320502765</v>
      </c>
    </row>
    <row r="809" spans="1:2" x14ac:dyDescent="0.3">
      <c r="A809">
        <f t="shared" si="24"/>
        <v>1.9617008948401247</v>
      </c>
      <c r="B809">
        <f t="shared" si="25"/>
        <v>1.2707742283770713</v>
      </c>
    </row>
    <row r="810" spans="1:2" x14ac:dyDescent="0.3">
      <c r="A810">
        <f t="shared" si="24"/>
        <v>1.9782057765959709</v>
      </c>
      <c r="B810">
        <f t="shared" si="25"/>
        <v>1.2723450247038663</v>
      </c>
    </row>
    <row r="811" spans="1:2" x14ac:dyDescent="0.3">
      <c r="A811">
        <f t="shared" si="24"/>
        <v>1.9948961929703211</v>
      </c>
      <c r="B811">
        <f t="shared" si="25"/>
        <v>1.2739158210306611</v>
      </c>
    </row>
    <row r="812" spans="1:2" x14ac:dyDescent="0.3">
      <c r="A812">
        <f t="shared" si="24"/>
        <v>2.0117751067957013</v>
      </c>
      <c r="B812">
        <f t="shared" si="25"/>
        <v>1.2754866173574562</v>
      </c>
    </row>
    <row r="813" spans="1:2" x14ac:dyDescent="0.3">
      <c r="A813">
        <f t="shared" si="24"/>
        <v>2.0288455442682203</v>
      </c>
      <c r="B813">
        <f t="shared" si="25"/>
        <v>1.277057413684251</v>
      </c>
    </row>
    <row r="814" spans="1:2" x14ac:dyDescent="0.3">
      <c r="A814">
        <f t="shared" si="24"/>
        <v>2.0461105966509265</v>
      </c>
      <c r="B814">
        <f t="shared" si="25"/>
        <v>1.278628210011046</v>
      </c>
    </row>
    <row r="815" spans="1:2" x14ac:dyDescent="0.3">
      <c r="A815">
        <f t="shared" si="24"/>
        <v>2.0635734220323725</v>
      </c>
      <c r="B815">
        <f t="shared" si="25"/>
        <v>1.2801990063378408</v>
      </c>
    </row>
    <row r="816" spans="1:2" x14ac:dyDescent="0.3">
      <c r="A816">
        <f t="shared" si="24"/>
        <v>2.0812372471425551</v>
      </c>
      <c r="B816">
        <f t="shared" si="25"/>
        <v>1.2817698026646356</v>
      </c>
    </row>
    <row r="817" spans="1:2" x14ac:dyDescent="0.3">
      <c r="A817">
        <f t="shared" si="24"/>
        <v>2.0991053692283757</v>
      </c>
      <c r="B817">
        <f t="shared" si="25"/>
        <v>1.2833405989914306</v>
      </c>
    </row>
    <row r="818" spans="1:2" x14ac:dyDescent="0.3">
      <c r="A818">
        <f t="shared" si="24"/>
        <v>2.1171811579909274</v>
      </c>
      <c r="B818">
        <f t="shared" si="25"/>
        <v>1.2849113953182254</v>
      </c>
    </row>
    <row r="819" spans="1:2" x14ac:dyDescent="0.3">
      <c r="A819">
        <f t="shared" si="24"/>
        <v>2.1354680575870217</v>
      </c>
      <c r="B819">
        <f t="shared" si="25"/>
        <v>1.2864821916450204</v>
      </c>
    </row>
    <row r="820" spans="1:2" x14ac:dyDescent="0.3">
      <c r="A820">
        <f t="shared" si="24"/>
        <v>2.1539695886974037</v>
      </c>
      <c r="B820">
        <f t="shared" si="25"/>
        <v>1.2880529879718152</v>
      </c>
    </row>
    <row r="821" spans="1:2" x14ac:dyDescent="0.3">
      <c r="A821">
        <f t="shared" si="24"/>
        <v>2.1726893506643217</v>
      </c>
      <c r="B821">
        <f t="shared" si="25"/>
        <v>1.2896237842986102</v>
      </c>
    </row>
    <row r="822" spans="1:2" x14ac:dyDescent="0.3">
      <c r="A822">
        <f t="shared" si="24"/>
        <v>2.1916310237011234</v>
      </c>
      <c r="B822">
        <f t="shared" si="25"/>
        <v>1.291194580625405</v>
      </c>
    </row>
    <row r="823" spans="1:2" x14ac:dyDescent="0.3">
      <c r="A823">
        <f t="shared" si="24"/>
        <v>2.2107983711767805</v>
      </c>
      <c r="B823">
        <f t="shared" si="25"/>
        <v>1.2927653769522001</v>
      </c>
    </row>
    <row r="824" spans="1:2" x14ac:dyDescent="0.3">
      <c r="A824">
        <f t="shared" si="24"/>
        <v>2.2301952419782625</v>
      </c>
      <c r="B824">
        <f t="shared" si="25"/>
        <v>1.2943361732789949</v>
      </c>
    </row>
    <row r="825" spans="1:2" x14ac:dyDescent="0.3">
      <c r="A825">
        <f t="shared" si="24"/>
        <v>2.2498255729539416</v>
      </c>
      <c r="B825">
        <f t="shared" si="25"/>
        <v>1.2959069696057897</v>
      </c>
    </row>
    <row r="826" spans="1:2" x14ac:dyDescent="0.3">
      <c r="A826">
        <f t="shared" si="24"/>
        <v>2.2696933914412276</v>
      </c>
      <c r="B826">
        <f t="shared" si="25"/>
        <v>1.2974777659325847</v>
      </c>
    </row>
    <row r="827" spans="1:2" x14ac:dyDescent="0.3">
      <c r="A827">
        <f t="shared" si="24"/>
        <v>2.2898028178818635</v>
      </c>
      <c r="B827">
        <f t="shared" si="25"/>
        <v>1.2990485622593795</v>
      </c>
    </row>
    <row r="828" spans="1:2" x14ac:dyDescent="0.3">
      <c r="A828">
        <f t="shared" si="24"/>
        <v>2.3101580685284855</v>
      </c>
      <c r="B828">
        <f t="shared" si="25"/>
        <v>1.3006193585861745</v>
      </c>
    </row>
    <row r="829" spans="1:2" x14ac:dyDescent="0.3">
      <c r="A829">
        <f t="shared" si="24"/>
        <v>2.3307634582461016</v>
      </c>
      <c r="B829">
        <f t="shared" si="25"/>
        <v>1.3021901549129693</v>
      </c>
    </row>
    <row r="830" spans="1:2" x14ac:dyDescent="0.3">
      <c r="A830">
        <f t="shared" si="24"/>
        <v>2.3516234034124972</v>
      </c>
      <c r="B830">
        <f t="shared" si="25"/>
        <v>1.3037609512397643</v>
      </c>
    </row>
    <row r="831" spans="1:2" x14ac:dyDescent="0.3">
      <c r="A831">
        <f t="shared" si="24"/>
        <v>2.3727424249215598</v>
      </c>
      <c r="B831">
        <f t="shared" si="25"/>
        <v>1.3053317475665591</v>
      </c>
    </row>
    <row r="832" spans="1:2" x14ac:dyDescent="0.3">
      <c r="A832">
        <f t="shared" si="24"/>
        <v>2.3941251512939212</v>
      </c>
      <c r="B832">
        <f t="shared" si="25"/>
        <v>1.3069025438933541</v>
      </c>
    </row>
    <row r="833" spans="1:2" x14ac:dyDescent="0.3">
      <c r="A833">
        <f t="shared" si="24"/>
        <v>2.4157763218993011</v>
      </c>
      <c r="B833">
        <f t="shared" si="25"/>
        <v>1.3084733402201487</v>
      </c>
    </row>
    <row r="834" spans="1:2" x14ac:dyDescent="0.3">
      <c r="A834">
        <f t="shared" ref="A834:A897" si="26">TAN(B834)-B834</f>
        <v>2.4377007902953887</v>
      </c>
      <c r="B834">
        <f t="shared" ref="B834:B897" si="27">ROW()*0.001*PI()/2</f>
        <v>1.3100441365469437</v>
      </c>
    </row>
    <row r="835" spans="1:2" x14ac:dyDescent="0.3">
      <c r="A835">
        <f t="shared" si="26"/>
        <v>2.4599035276880556</v>
      </c>
      <c r="B835">
        <f t="shared" si="27"/>
        <v>1.3116149328737385</v>
      </c>
    </row>
    <row r="836" spans="1:2" x14ac:dyDescent="0.3">
      <c r="A836">
        <f t="shared" si="26"/>
        <v>2.4823896265182466</v>
      </c>
      <c r="B836">
        <f t="shared" si="27"/>
        <v>1.3131857292005336</v>
      </c>
    </row>
    <row r="837" spans="1:2" x14ac:dyDescent="0.3">
      <c r="A837">
        <f t="shared" si="26"/>
        <v>2.5051643041808296</v>
      </c>
      <c r="B837">
        <f t="shared" si="27"/>
        <v>1.3147565255273284</v>
      </c>
    </row>
    <row r="838" spans="1:2" x14ac:dyDescent="0.3">
      <c r="A838">
        <f t="shared" si="26"/>
        <v>2.5282329068812408</v>
      </c>
      <c r="B838">
        <f t="shared" si="27"/>
        <v>1.3163273218541232</v>
      </c>
    </row>
    <row r="839" spans="1:2" x14ac:dyDescent="0.3">
      <c r="A839">
        <f t="shared" si="26"/>
        <v>2.5516009136358173</v>
      </c>
      <c r="B839">
        <f t="shared" si="27"/>
        <v>1.3178981181809182</v>
      </c>
    </row>
    <row r="840" spans="1:2" x14ac:dyDescent="0.3">
      <c r="A840">
        <f t="shared" si="26"/>
        <v>2.575273940422143</v>
      </c>
      <c r="B840">
        <f t="shared" si="27"/>
        <v>1.319468914507713</v>
      </c>
    </row>
    <row r="841" spans="1:2" x14ac:dyDescent="0.3">
      <c r="A841">
        <f t="shared" si="26"/>
        <v>2.5992577444860459</v>
      </c>
      <c r="B841">
        <f t="shared" si="27"/>
        <v>1.321039710834508</v>
      </c>
    </row>
    <row r="842" spans="1:2" x14ac:dyDescent="0.3">
      <c r="A842">
        <f t="shared" si="26"/>
        <v>2.6235582288120995</v>
      </c>
      <c r="B842">
        <f t="shared" si="27"/>
        <v>1.3226105071613028</v>
      </c>
    </row>
    <row r="843" spans="1:2" x14ac:dyDescent="0.3">
      <c r="A843">
        <f t="shared" si="26"/>
        <v>2.6481814467650295</v>
      </c>
      <c r="B843">
        <f t="shared" si="27"/>
        <v>1.3241813034880978</v>
      </c>
    </row>
    <row r="844" spans="1:2" x14ac:dyDescent="0.3">
      <c r="A844">
        <f t="shared" si="26"/>
        <v>2.6731336069095759</v>
      </c>
      <c r="B844">
        <f t="shared" si="27"/>
        <v>1.3257520998148926</v>
      </c>
    </row>
    <row r="845" spans="1:2" x14ac:dyDescent="0.3">
      <c r="A845">
        <f t="shared" si="26"/>
        <v>2.6984210780169917</v>
      </c>
      <c r="B845">
        <f t="shared" si="27"/>
        <v>1.3273228961416876</v>
      </c>
    </row>
    <row r="846" spans="1:2" x14ac:dyDescent="0.3">
      <c r="A846">
        <f t="shared" si="26"/>
        <v>2.7240503942665377</v>
      </c>
      <c r="B846">
        <f t="shared" si="27"/>
        <v>1.3288936924684824</v>
      </c>
    </row>
    <row r="847" spans="1:2" x14ac:dyDescent="0.3">
      <c r="A847">
        <f t="shared" si="26"/>
        <v>2.7500282606510176</v>
      </c>
      <c r="B847">
        <f t="shared" si="27"/>
        <v>1.3304644887952775</v>
      </c>
    </row>
    <row r="848" spans="1:2" x14ac:dyDescent="0.3">
      <c r="A848">
        <f t="shared" si="26"/>
        <v>2.7763615585956334</v>
      </c>
      <c r="B848">
        <f t="shared" si="27"/>
        <v>1.3320352851220723</v>
      </c>
    </row>
    <row r="849" spans="1:2" x14ac:dyDescent="0.3">
      <c r="A849">
        <f t="shared" si="26"/>
        <v>2.8030573518001569</v>
      </c>
      <c r="B849">
        <f t="shared" si="27"/>
        <v>1.3336060814488671</v>
      </c>
    </row>
    <row r="850" spans="1:2" x14ac:dyDescent="0.3">
      <c r="A850">
        <f t="shared" si="26"/>
        <v>2.8301228923147543</v>
      </c>
      <c r="B850">
        <f t="shared" si="27"/>
        <v>1.3351768777756621</v>
      </c>
    </row>
    <row r="851" spans="1:2" x14ac:dyDescent="0.3">
      <c r="A851">
        <f t="shared" si="26"/>
        <v>2.8575656268604717</v>
      </c>
      <c r="B851">
        <f t="shared" si="27"/>
        <v>1.3367476741024569</v>
      </c>
    </row>
    <row r="852" spans="1:2" x14ac:dyDescent="0.3">
      <c r="A852">
        <f t="shared" si="26"/>
        <v>2.8853932034060001</v>
      </c>
      <c r="B852">
        <f t="shared" si="27"/>
        <v>1.3383184704292519</v>
      </c>
    </row>
    <row r="853" spans="1:2" x14ac:dyDescent="0.3">
      <c r="A853">
        <f t="shared" si="26"/>
        <v>2.9136134780128131</v>
      </c>
      <c r="B853">
        <f t="shared" si="27"/>
        <v>1.3398892667560467</v>
      </c>
    </row>
    <row r="854" spans="1:2" x14ac:dyDescent="0.3">
      <c r="A854">
        <f t="shared" si="26"/>
        <v>2.9422345219616846</v>
      </c>
      <c r="B854">
        <f t="shared" si="27"/>
        <v>1.3414600630828417</v>
      </c>
    </row>
    <row r="855" spans="1:2" x14ac:dyDescent="0.3">
      <c r="A855">
        <f t="shared" si="26"/>
        <v>2.9712646291740228</v>
      </c>
      <c r="B855">
        <f t="shared" si="27"/>
        <v>1.3430308594096365</v>
      </c>
    </row>
    <row r="856" spans="1:2" x14ac:dyDescent="0.3">
      <c r="A856">
        <f t="shared" si="26"/>
        <v>3.0007123239424978</v>
      </c>
      <c r="B856">
        <f t="shared" si="27"/>
        <v>1.3446016557364315</v>
      </c>
    </row>
    <row r="857" spans="1:2" x14ac:dyDescent="0.3">
      <c r="A857">
        <f t="shared" si="26"/>
        <v>3.0305863689859631</v>
      </c>
      <c r="B857">
        <f t="shared" si="27"/>
        <v>1.3461724520632263</v>
      </c>
    </row>
    <row r="858" spans="1:2" x14ac:dyDescent="0.3">
      <c r="A858">
        <f t="shared" si="26"/>
        <v>3.0608957738447913</v>
      </c>
      <c r="B858">
        <f t="shared" si="27"/>
        <v>1.3477432483900211</v>
      </c>
    </row>
    <row r="859" spans="1:2" x14ac:dyDescent="0.3">
      <c r="A859">
        <f t="shared" si="26"/>
        <v>3.0916498036334068</v>
      </c>
      <c r="B859">
        <f t="shared" si="27"/>
        <v>1.3493140447168162</v>
      </c>
    </row>
    <row r="860" spans="1:2" x14ac:dyDescent="0.3">
      <c r="A860">
        <f t="shared" si="26"/>
        <v>3.1228579881679406</v>
      </c>
      <c r="B860">
        <f t="shared" si="27"/>
        <v>1.350884841043611</v>
      </c>
    </row>
    <row r="861" spans="1:2" x14ac:dyDescent="0.3">
      <c r="A861">
        <f t="shared" si="26"/>
        <v>3.1545301314879151</v>
      </c>
      <c r="B861">
        <f t="shared" si="27"/>
        <v>1.352455637370406</v>
      </c>
    </row>
    <row r="862" spans="1:2" x14ac:dyDescent="0.3">
      <c r="A862">
        <f t="shared" si="26"/>
        <v>3.1866763217918548</v>
      </c>
      <c r="B862">
        <f t="shared" si="27"/>
        <v>1.3540264336972008</v>
      </c>
    </row>
    <row r="863" spans="1:2" x14ac:dyDescent="0.3">
      <c r="A863">
        <f t="shared" si="26"/>
        <v>3.2193069418081093</v>
      </c>
      <c r="B863">
        <f t="shared" si="27"/>
        <v>1.3555972300239958</v>
      </c>
    </row>
    <row r="864" spans="1:2" x14ac:dyDescent="0.3">
      <c r="A864">
        <f t="shared" si="26"/>
        <v>3.2524326796231273</v>
      </c>
      <c r="B864">
        <f t="shared" si="27"/>
        <v>1.3571680263507906</v>
      </c>
    </row>
    <row r="865" spans="1:2" x14ac:dyDescent="0.3">
      <c r="A865">
        <f t="shared" si="26"/>
        <v>3.2860645399910737</v>
      </c>
      <c r="B865">
        <f t="shared" si="27"/>
        <v>1.3587388226775856</v>
      </c>
    </row>
    <row r="866" spans="1:2" x14ac:dyDescent="0.3">
      <c r="A866">
        <f t="shared" si="26"/>
        <v>3.3202138561497643</v>
      </c>
      <c r="B866">
        <f t="shared" si="27"/>
        <v>1.3603096190043804</v>
      </c>
    </row>
    <row r="867" spans="1:2" x14ac:dyDescent="0.3">
      <c r="A867">
        <f t="shared" si="26"/>
        <v>3.354892302169727</v>
      </c>
      <c r="B867">
        <f t="shared" si="27"/>
        <v>1.3618804153311752</v>
      </c>
    </row>
    <row r="868" spans="1:2" x14ac:dyDescent="0.3">
      <c r="A868">
        <f t="shared" si="26"/>
        <v>3.3901119058645306</v>
      </c>
      <c r="B868">
        <f t="shared" si="27"/>
        <v>1.3634512116579702</v>
      </c>
    </row>
    <row r="869" spans="1:2" x14ac:dyDescent="0.3">
      <c r="A869">
        <f t="shared" si="26"/>
        <v>3.4258850622924268</v>
      </c>
      <c r="B869">
        <f t="shared" si="27"/>
        <v>1.365022007984765</v>
      </c>
    </row>
    <row r="870" spans="1:2" x14ac:dyDescent="0.3">
      <c r="A870">
        <f t="shared" si="26"/>
        <v>3.4622245478811999</v>
      </c>
      <c r="B870">
        <f t="shared" si="27"/>
        <v>1.36659280431156</v>
      </c>
    </row>
    <row r="871" spans="1:2" x14ac:dyDescent="0.3">
      <c r="A871">
        <f t="shared" si="26"/>
        <v>3.4991435352099032</v>
      </c>
      <c r="B871">
        <f t="shared" si="27"/>
        <v>1.3681636006383548</v>
      </c>
    </row>
    <row r="872" spans="1:2" x14ac:dyDescent="0.3">
      <c r="A872">
        <f t="shared" si="26"/>
        <v>3.5366556084835787</v>
      </c>
      <c r="B872">
        <f t="shared" si="27"/>
        <v>1.3697343969651499</v>
      </c>
    </row>
    <row r="873" spans="1:2" x14ac:dyDescent="0.3">
      <c r="A873">
        <f t="shared" si="26"/>
        <v>3.5747747797389717</v>
      </c>
      <c r="B873">
        <f t="shared" si="27"/>
        <v>1.3713051932919447</v>
      </c>
    </row>
    <row r="874" spans="1:2" x14ac:dyDescent="0.3">
      <c r="A874">
        <f t="shared" si="26"/>
        <v>3.6135155058220452</v>
      </c>
      <c r="B874">
        <f t="shared" si="27"/>
        <v>1.3728759896187397</v>
      </c>
    </row>
    <row r="875" spans="1:2" x14ac:dyDescent="0.3">
      <c r="A875">
        <f t="shared" si="26"/>
        <v>3.652892706180312</v>
      </c>
      <c r="B875">
        <f t="shared" si="27"/>
        <v>1.3744467859455345</v>
      </c>
    </row>
    <row r="876" spans="1:2" x14ac:dyDescent="0.3">
      <c r="A876">
        <f t="shared" si="26"/>
        <v>3.692921781516187</v>
      </c>
      <c r="B876">
        <f t="shared" si="27"/>
        <v>1.3760175822723293</v>
      </c>
    </row>
    <row r="877" spans="1:2" x14ac:dyDescent="0.3">
      <c r="A877">
        <f t="shared" si="26"/>
        <v>3.7336186333501833</v>
      </c>
      <c r="B877">
        <f t="shared" si="27"/>
        <v>1.3775883785991243</v>
      </c>
    </row>
    <row r="878" spans="1:2" x14ac:dyDescent="0.3">
      <c r="A878">
        <f t="shared" si="26"/>
        <v>3.7749996845462506</v>
      </c>
      <c r="B878">
        <f t="shared" si="27"/>
        <v>1.3791591749259191</v>
      </c>
    </row>
    <row r="879" spans="1:2" x14ac:dyDescent="0.3">
      <c r="A879">
        <f t="shared" si="26"/>
        <v>3.8170819008549435</v>
      </c>
      <c r="B879">
        <f t="shared" si="27"/>
        <v>1.3807299712527141</v>
      </c>
    </row>
    <row r="880" spans="1:2" x14ac:dyDescent="0.3">
      <c r="A880">
        <f t="shared" si="26"/>
        <v>3.8598828135336651</v>
      </c>
      <c r="B880">
        <f t="shared" si="27"/>
        <v>1.3823007675795089</v>
      </c>
    </row>
    <row r="881" spans="1:2" x14ac:dyDescent="0.3">
      <c r="A881">
        <f t="shared" si="26"/>
        <v>3.9034205431075248</v>
      </c>
      <c r="B881">
        <f t="shared" si="27"/>
        <v>1.3838715639063039</v>
      </c>
    </row>
    <row r="882" spans="1:2" x14ac:dyDescent="0.3">
      <c r="A882">
        <f t="shared" si="26"/>
        <v>3.9477138243382752</v>
      </c>
      <c r="B882">
        <f t="shared" si="27"/>
        <v>1.3854423602330987</v>
      </c>
    </row>
    <row r="883" spans="1:2" x14ac:dyDescent="0.3">
      <c r="A883">
        <f t="shared" si="26"/>
        <v>3.9927820324738033</v>
      </c>
      <c r="B883">
        <f t="shared" si="27"/>
        <v>1.3870131565598938</v>
      </c>
    </row>
    <row r="884" spans="1:2" x14ac:dyDescent="0.3">
      <c r="A884">
        <f t="shared" si="26"/>
        <v>4.0386452108552575</v>
      </c>
      <c r="B884">
        <f t="shared" si="27"/>
        <v>1.3885839528866886</v>
      </c>
    </row>
    <row r="885" spans="1:2" x14ac:dyDescent="0.3">
      <c r="A885">
        <f t="shared" si="26"/>
        <v>4.0853240999646463</v>
      </c>
      <c r="B885">
        <f t="shared" si="27"/>
        <v>1.3901547492134834</v>
      </c>
    </row>
    <row r="886" spans="1:2" x14ac:dyDescent="0.3">
      <c r="A886">
        <f t="shared" si="26"/>
        <v>4.1328401680011773</v>
      </c>
      <c r="B886">
        <f t="shared" si="27"/>
        <v>1.3917255455402784</v>
      </c>
    </row>
    <row r="887" spans="1:2" x14ac:dyDescent="0.3">
      <c r="A887">
        <f t="shared" si="26"/>
        <v>4.1812156430811402</v>
      </c>
      <c r="B887">
        <f t="shared" si="27"/>
        <v>1.3932963418670732</v>
      </c>
    </row>
    <row r="888" spans="1:2" x14ac:dyDescent="0.3">
      <c r="A888">
        <f t="shared" si="26"/>
        <v>4.2304735471628314</v>
      </c>
      <c r="B888">
        <f t="shared" si="27"/>
        <v>1.3948671381938682</v>
      </c>
    </row>
    <row r="889" spans="1:2" x14ac:dyDescent="0.3">
      <c r="A889">
        <f t="shared" si="26"/>
        <v>4.2806377318051627</v>
      </c>
      <c r="B889">
        <f t="shared" si="27"/>
        <v>1.396437934520663</v>
      </c>
    </row>
    <row r="890" spans="1:2" x14ac:dyDescent="0.3">
      <c r="A890">
        <f t="shared" si="26"/>
        <v>4.3317329158768576</v>
      </c>
      <c r="B890">
        <f t="shared" si="27"/>
        <v>1.398008730847458</v>
      </c>
    </row>
    <row r="891" spans="1:2" x14ac:dyDescent="0.3">
      <c r="A891">
        <f t="shared" si="26"/>
        <v>4.3837847253412594</v>
      </c>
      <c r="B891">
        <f t="shared" si="27"/>
        <v>1.3995795271742528</v>
      </c>
    </row>
    <row r="892" spans="1:2" x14ac:dyDescent="0.3">
      <c r="A892">
        <f t="shared" si="26"/>
        <v>4.4368197352515262</v>
      </c>
      <c r="B892">
        <f t="shared" si="27"/>
        <v>1.4011503235010478</v>
      </c>
    </row>
    <row r="893" spans="1:2" x14ac:dyDescent="0.3">
      <c r="A893">
        <f t="shared" si="26"/>
        <v>4.4908655141005775</v>
      </c>
      <c r="B893">
        <f t="shared" si="27"/>
        <v>1.4027211198278426</v>
      </c>
    </row>
    <row r="894" spans="1:2" x14ac:dyDescent="0.3">
      <c r="A894">
        <f t="shared" si="26"/>
        <v>4.545950670681532</v>
      </c>
      <c r="B894">
        <f t="shared" si="27"/>
        <v>1.4042919161546374</v>
      </c>
    </row>
    <row r="895" spans="1:2" x14ac:dyDescent="0.3">
      <c r="A895">
        <f t="shared" si="26"/>
        <v>4.6021049036258006</v>
      </c>
      <c r="B895">
        <f t="shared" si="27"/>
        <v>1.4058627124814325</v>
      </c>
    </row>
    <row r="896" spans="1:2" x14ac:dyDescent="0.3">
      <c r="A896">
        <f t="shared" si="26"/>
        <v>4.6593590537991503</v>
      </c>
      <c r="B896">
        <f t="shared" si="27"/>
        <v>1.4074335088082273</v>
      </c>
    </row>
    <row r="897" spans="1:2" x14ac:dyDescent="0.3">
      <c r="A897">
        <f t="shared" si="26"/>
        <v>4.7177451597500522</v>
      </c>
      <c r="B897">
        <f t="shared" si="27"/>
        <v>1.4090043051350223</v>
      </c>
    </row>
    <row r="898" spans="1:2" x14ac:dyDescent="0.3">
      <c r="A898">
        <f t="shared" ref="A898:A961" si="28">TAN(B898)-B898</f>
        <v>4.7772965164195549</v>
      </c>
      <c r="B898">
        <f t="shared" ref="B898:B961" si="29">ROW()*0.001*PI()/2</f>
        <v>1.4105751014618171</v>
      </c>
    </row>
    <row r="899" spans="1:2" x14ac:dyDescent="0.3">
      <c r="A899">
        <f t="shared" si="28"/>
        <v>4.8380477373390312</v>
      </c>
      <c r="B899">
        <f t="shared" si="29"/>
        <v>1.4121458977886121</v>
      </c>
    </row>
    <row r="900" spans="1:2" x14ac:dyDescent="0.3">
      <c r="A900">
        <f t="shared" si="28"/>
        <v>4.9000348205596342</v>
      </c>
      <c r="B900">
        <f t="shared" si="29"/>
        <v>1.4137166941154069</v>
      </c>
    </row>
    <row r="901" spans="1:2" x14ac:dyDescent="0.3">
      <c r="A901">
        <f t="shared" si="28"/>
        <v>4.9632952185776267</v>
      </c>
      <c r="B901">
        <f t="shared" si="29"/>
        <v>1.4152874904422019</v>
      </c>
    </row>
    <row r="902" spans="1:2" x14ac:dyDescent="0.3">
      <c r="A902">
        <f t="shared" si="28"/>
        <v>5.0278679125407066</v>
      </c>
      <c r="B902">
        <f t="shared" si="29"/>
        <v>1.4168582867689967</v>
      </c>
    </row>
    <row r="903" spans="1:2" x14ac:dyDescent="0.3">
      <c r="A903">
        <f t="shared" si="28"/>
        <v>5.0937934910445541</v>
      </c>
      <c r="B903">
        <f t="shared" si="29"/>
        <v>1.4184290830957915</v>
      </c>
    </row>
    <row r="904" spans="1:2" x14ac:dyDescent="0.3">
      <c r="A904">
        <f t="shared" si="28"/>
        <v>5.1611142338540681</v>
      </c>
      <c r="B904">
        <f t="shared" si="29"/>
        <v>1.4199998794225865</v>
      </c>
    </row>
    <row r="905" spans="1:2" x14ac:dyDescent="0.3">
      <c r="A905">
        <f t="shared" si="28"/>
        <v>5.2298742009122527</v>
      </c>
      <c r="B905">
        <f t="shared" si="29"/>
        <v>1.4215706757493813</v>
      </c>
    </row>
    <row r="906" spans="1:2" x14ac:dyDescent="0.3">
      <c r="A906">
        <f t="shared" si="28"/>
        <v>5.3001193270306368</v>
      </c>
      <c r="B906">
        <f t="shared" si="29"/>
        <v>1.4231414720761764</v>
      </c>
    </row>
    <row r="907" spans="1:2" x14ac:dyDescent="0.3">
      <c r="A907">
        <f t="shared" si="28"/>
        <v>5.3718975226885828</v>
      </c>
      <c r="B907">
        <f t="shared" si="29"/>
        <v>1.4247122684029712</v>
      </c>
    </row>
    <row r="908" spans="1:2" x14ac:dyDescent="0.3">
      <c r="A908">
        <f t="shared" si="28"/>
        <v>5.4452587814066398</v>
      </c>
      <c r="B908">
        <f t="shared" si="29"/>
        <v>1.4262830647297662</v>
      </c>
    </row>
    <row r="909" spans="1:2" x14ac:dyDescent="0.3">
      <c r="A909">
        <f t="shared" si="28"/>
        <v>5.520255294199286</v>
      </c>
      <c r="B909">
        <f t="shared" si="29"/>
        <v>1.427853861056561</v>
      </c>
    </row>
    <row r="910" spans="1:2" x14ac:dyDescent="0.3">
      <c r="A910">
        <f t="shared" si="28"/>
        <v>5.5969415716580286</v>
      </c>
      <c r="B910">
        <f t="shared" si="29"/>
        <v>1.429424657383356</v>
      </c>
    </row>
    <row r="911" spans="1:2" x14ac:dyDescent="0.3">
      <c r="A911">
        <f t="shared" si="28"/>
        <v>5.6753745742646426</v>
      </c>
      <c r="B911">
        <f t="shared" si="29"/>
        <v>1.4309954537101508</v>
      </c>
    </row>
    <row r="912" spans="1:2" x14ac:dyDescent="0.3">
      <c r="A912">
        <f t="shared" si="28"/>
        <v>5.7556138515895938</v>
      </c>
      <c r="B912">
        <f t="shared" si="29"/>
        <v>1.4325662500369458</v>
      </c>
    </row>
    <row r="913" spans="1:2" x14ac:dyDescent="0.3">
      <c r="A913">
        <f t="shared" si="28"/>
        <v>5.8377216910901524</v>
      </c>
      <c r="B913">
        <f t="shared" si="29"/>
        <v>1.4341370463637406</v>
      </c>
    </row>
    <row r="914" spans="1:2" x14ac:dyDescent="0.3">
      <c r="A914">
        <f t="shared" si="28"/>
        <v>5.9217632772899691</v>
      </c>
      <c r="B914">
        <f t="shared" si="29"/>
        <v>1.4357078426905354</v>
      </c>
    </row>
    <row r="915" spans="1:2" x14ac:dyDescent="0.3">
      <c r="A915">
        <f t="shared" si="28"/>
        <v>6.0078068621947116</v>
      </c>
      <c r="B915">
        <f t="shared" si="29"/>
        <v>1.4372786390173304</v>
      </c>
    </row>
    <row r="916" spans="1:2" x14ac:dyDescent="0.3">
      <c r="A916">
        <f t="shared" si="28"/>
        <v>6.0959239478802649</v>
      </c>
      <c r="B916">
        <f t="shared" si="29"/>
        <v>1.4388494353441252</v>
      </c>
    </row>
    <row r="917" spans="1:2" x14ac:dyDescent="0.3">
      <c r="A917">
        <f t="shared" si="28"/>
        <v>6.1861894822801968</v>
      </c>
      <c r="B917">
        <f t="shared" si="29"/>
        <v>1.4404202316709203</v>
      </c>
    </row>
    <row r="918" spans="1:2" x14ac:dyDescent="0.3">
      <c r="A918">
        <f t="shared" si="28"/>
        <v>6.2786820692989389</v>
      </c>
      <c r="B918">
        <f t="shared" si="29"/>
        <v>1.4419910279977151</v>
      </c>
    </row>
    <row r="919" spans="1:2" x14ac:dyDescent="0.3">
      <c r="A919">
        <f t="shared" si="28"/>
        <v>6.3734841944891283</v>
      </c>
      <c r="B919">
        <f t="shared" si="29"/>
        <v>1.4435618243245101</v>
      </c>
    </row>
    <row r="920" spans="1:2" x14ac:dyDescent="0.3">
      <c r="A920">
        <f t="shared" si="28"/>
        <v>6.4706824676545214</v>
      </c>
      <c r="B920">
        <f t="shared" si="29"/>
        <v>1.4451326206513049</v>
      </c>
    </row>
    <row r="921" spans="1:2" x14ac:dyDescent="0.3">
      <c r="A921">
        <f t="shared" si="28"/>
        <v>6.5703678838786761</v>
      </c>
      <c r="B921">
        <f t="shared" si="29"/>
        <v>1.4467034169780999</v>
      </c>
    </row>
    <row r="922" spans="1:2" x14ac:dyDescent="0.3">
      <c r="A922">
        <f t="shared" si="28"/>
        <v>6.6726361046325273</v>
      </c>
      <c r="B922">
        <f t="shared" si="29"/>
        <v>1.4482742133048947</v>
      </c>
    </row>
    <row r="923" spans="1:2" x14ac:dyDescent="0.3">
      <c r="A923">
        <f t="shared" si="28"/>
        <v>6.7775877607866803</v>
      </c>
      <c r="B923">
        <f t="shared" si="29"/>
        <v>1.4498450096316895</v>
      </c>
    </row>
    <row r="924" spans="1:2" x14ac:dyDescent="0.3">
      <c r="A924">
        <f t="shared" si="28"/>
        <v>6.8853287795455635</v>
      </c>
      <c r="B924">
        <f t="shared" si="29"/>
        <v>1.4514158059584845</v>
      </c>
    </row>
    <row r="925" spans="1:2" x14ac:dyDescent="0.3">
      <c r="A925">
        <f t="shared" si="28"/>
        <v>6.9959707375363189</v>
      </c>
      <c r="B925">
        <f t="shared" si="29"/>
        <v>1.4529866022852793</v>
      </c>
    </row>
    <row r="926" spans="1:2" x14ac:dyDescent="0.3">
      <c r="A926">
        <f t="shared" si="28"/>
        <v>7.1096312425266834</v>
      </c>
      <c r="B926">
        <f t="shared" si="29"/>
        <v>1.4545573986120743</v>
      </c>
    </row>
    <row r="927" spans="1:2" x14ac:dyDescent="0.3">
      <c r="A927">
        <f t="shared" si="28"/>
        <v>7.2264343465166911</v>
      </c>
      <c r="B927">
        <f t="shared" si="29"/>
        <v>1.4561281949388691</v>
      </c>
    </row>
    <row r="928" spans="1:2" x14ac:dyDescent="0.3">
      <c r="A928">
        <f t="shared" si="28"/>
        <v>7.3465109932549559</v>
      </c>
      <c r="B928">
        <f t="shared" si="29"/>
        <v>1.4576989912656642</v>
      </c>
    </row>
    <row r="929" spans="1:2" x14ac:dyDescent="0.3">
      <c r="A929">
        <f t="shared" si="28"/>
        <v>7.4699995035729563</v>
      </c>
      <c r="B929">
        <f t="shared" si="29"/>
        <v>1.459269787592459</v>
      </c>
    </row>
    <row r="930" spans="1:2" x14ac:dyDescent="0.3">
      <c r="A930">
        <f t="shared" si="28"/>
        <v>7.597046102319684</v>
      </c>
      <c r="B930">
        <f t="shared" si="29"/>
        <v>1.460840583919254</v>
      </c>
    </row>
    <row r="931" spans="1:2" x14ac:dyDescent="0.3">
      <c r="A931">
        <f t="shared" si="28"/>
        <v>7.7278054911164027</v>
      </c>
      <c r="B931">
        <f t="shared" si="29"/>
        <v>1.4624113802460488</v>
      </c>
    </row>
    <row r="932" spans="1:2" x14ac:dyDescent="0.3">
      <c r="A932">
        <f t="shared" si="28"/>
        <v>7.8624414716488769</v>
      </c>
      <c r="B932">
        <f t="shared" si="29"/>
        <v>1.4639821765728436</v>
      </c>
    </row>
    <row r="933" spans="1:2" x14ac:dyDescent="0.3">
      <c r="A933">
        <f t="shared" si="28"/>
        <v>8.001127624776613</v>
      </c>
      <c r="B933">
        <f t="shared" si="29"/>
        <v>1.4655529728996386</v>
      </c>
    </row>
    <row r="934" spans="1:2" x14ac:dyDescent="0.3">
      <c r="A934">
        <f t="shared" si="28"/>
        <v>8.1440480513793254</v>
      </c>
      <c r="B934">
        <f t="shared" si="29"/>
        <v>1.4671237692264334</v>
      </c>
    </row>
    <row r="935" spans="1:2" x14ac:dyDescent="0.3">
      <c r="A935">
        <f t="shared" si="28"/>
        <v>8.2913981815893987</v>
      </c>
      <c r="B935">
        <f t="shared" si="29"/>
        <v>1.4686945655532284</v>
      </c>
    </row>
    <row r="936" spans="1:2" x14ac:dyDescent="0.3">
      <c r="A936">
        <f t="shared" si="28"/>
        <v>8.4433856598896178</v>
      </c>
      <c r="B936">
        <f t="shared" si="29"/>
        <v>1.4702653618800232</v>
      </c>
    </row>
    <row r="937" spans="1:2" x14ac:dyDescent="0.3">
      <c r="A937">
        <f t="shared" si="28"/>
        <v>8.600231314506237</v>
      </c>
      <c r="B937">
        <f t="shared" si="29"/>
        <v>1.4718361582068182</v>
      </c>
    </row>
    <row r="938" spans="1:2" x14ac:dyDescent="0.3">
      <c r="A938">
        <f t="shared" si="28"/>
        <v>8.76217022061393</v>
      </c>
      <c r="B938">
        <f t="shared" si="29"/>
        <v>1.473406954533613</v>
      </c>
    </row>
    <row r="939" spans="1:2" x14ac:dyDescent="0.3">
      <c r="A939">
        <f t="shared" si="28"/>
        <v>8.9294528681186627</v>
      </c>
      <c r="B939">
        <f t="shared" si="29"/>
        <v>1.4749777508604081</v>
      </c>
    </row>
    <row r="940" spans="1:2" x14ac:dyDescent="0.3">
      <c r="A940">
        <f t="shared" si="28"/>
        <v>9.1023464462184354</v>
      </c>
      <c r="B940">
        <f t="shared" si="29"/>
        <v>1.4765485471872029</v>
      </c>
    </row>
    <row r="941" spans="1:2" x14ac:dyDescent="0.3">
      <c r="A941">
        <f t="shared" si="28"/>
        <v>9.2811362585977388</v>
      </c>
      <c r="B941">
        <f t="shared" si="29"/>
        <v>1.4781193435139977</v>
      </c>
    </row>
    <row r="942" spans="1:2" x14ac:dyDescent="0.3">
      <c r="A942">
        <f t="shared" si="28"/>
        <v>9.4661272850211304</v>
      </c>
      <c r="B942">
        <f t="shared" si="29"/>
        <v>1.4796901398407927</v>
      </c>
    </row>
    <row r="943" spans="1:2" x14ac:dyDescent="0.3">
      <c r="A943">
        <f t="shared" si="28"/>
        <v>9.6576459073051257</v>
      </c>
      <c r="B943">
        <f t="shared" si="29"/>
        <v>1.4812609361675875</v>
      </c>
    </row>
    <row r="944" spans="1:2" x14ac:dyDescent="0.3">
      <c r="A944">
        <f t="shared" si="28"/>
        <v>9.8560418202158875</v>
      </c>
      <c r="B944">
        <f t="shared" si="29"/>
        <v>1.4828317324943825</v>
      </c>
    </row>
    <row r="945" spans="1:2" x14ac:dyDescent="0.3">
      <c r="A945">
        <f t="shared" si="28"/>
        <v>10.061690150828081</v>
      </c>
      <c r="B945">
        <f t="shared" si="29"/>
        <v>1.4844025288211773</v>
      </c>
    </row>
    <row r="946" spans="1:2" x14ac:dyDescent="0.3">
      <c r="A946">
        <f t="shared" si="28"/>
        <v>10.2749938133685</v>
      </c>
      <c r="B946">
        <f t="shared" si="29"/>
        <v>1.4859733251479723</v>
      </c>
    </row>
    <row r="947" spans="1:2" x14ac:dyDescent="0.3">
      <c r="A947">
        <f t="shared" si="28"/>
        <v>10.496386130645288</v>
      </c>
      <c r="B947">
        <f t="shared" si="29"/>
        <v>1.4875441214747671</v>
      </c>
    </row>
    <row r="948" spans="1:2" x14ac:dyDescent="0.3">
      <c r="A948">
        <f t="shared" si="28"/>
        <v>10.726333757950261</v>
      </c>
      <c r="B948">
        <f t="shared" si="29"/>
        <v>1.4891149178015621</v>
      </c>
    </row>
    <row r="949" spans="1:2" x14ac:dyDescent="0.3">
      <c r="A949">
        <f t="shared" si="28"/>
        <v>10.965339950949206</v>
      </c>
      <c r="B949">
        <f t="shared" si="29"/>
        <v>1.4906857141283569</v>
      </c>
    </row>
    <row r="950" spans="1:2" x14ac:dyDescent="0.3">
      <c r="A950">
        <f t="shared" si="28"/>
        <v>11.213948225719545</v>
      </c>
      <c r="B950">
        <f t="shared" si="29"/>
        <v>1.4922565104551517</v>
      </c>
    </row>
    <row r="951" spans="1:2" x14ac:dyDescent="0.3">
      <c r="A951">
        <f t="shared" si="28"/>
        <v>11.472746466955501</v>
      </c>
      <c r="B951">
        <f t="shared" si="29"/>
        <v>1.4938273067819468</v>
      </c>
    </row>
    <row r="952" spans="1:2" x14ac:dyDescent="0.3">
      <c r="A952">
        <f t="shared" si="28"/>
        <v>11.742371549698937</v>
      </c>
      <c r="B952">
        <f t="shared" si="29"/>
        <v>1.4953981031087415</v>
      </c>
    </row>
    <row r="953" spans="1:2" x14ac:dyDescent="0.3">
      <c r="A953">
        <f t="shared" si="28"/>
        <v>12.023514551078732</v>
      </c>
      <c r="B953">
        <f t="shared" si="29"/>
        <v>1.4969688994355366</v>
      </c>
    </row>
    <row r="954" spans="1:2" x14ac:dyDescent="0.3">
      <c r="A954">
        <f t="shared" si="28"/>
        <v>12.316926641841679</v>
      </c>
      <c r="B954">
        <f t="shared" si="29"/>
        <v>1.4985396957623314</v>
      </c>
    </row>
    <row r="955" spans="1:2" x14ac:dyDescent="0.3">
      <c r="A955">
        <f t="shared" si="28"/>
        <v>12.623425763421503</v>
      </c>
      <c r="B955">
        <f t="shared" si="29"/>
        <v>1.5001104920891264</v>
      </c>
    </row>
    <row r="956" spans="1:2" x14ac:dyDescent="0.3">
      <c r="A956">
        <f t="shared" si="28"/>
        <v>12.94390421551657</v>
      </c>
      <c r="B956">
        <f t="shared" si="29"/>
        <v>1.5016812884159212</v>
      </c>
    </row>
    <row r="957" spans="1:2" x14ac:dyDescent="0.3">
      <c r="A957">
        <f t="shared" si="28"/>
        <v>13.279337302400124</v>
      </c>
      <c r="B957">
        <f t="shared" si="29"/>
        <v>1.5032520847427162</v>
      </c>
    </row>
    <row r="958" spans="1:2" x14ac:dyDescent="0.3">
      <c r="A958">
        <f t="shared" si="28"/>
        <v>13.630793214416922</v>
      </c>
      <c r="B958">
        <f t="shared" si="29"/>
        <v>1.504822881069511</v>
      </c>
    </row>
    <row r="959" spans="1:2" x14ac:dyDescent="0.3">
      <c r="A959">
        <f t="shared" si="28"/>
        <v>13.999444355553299</v>
      </c>
      <c r="B959">
        <f t="shared" si="29"/>
        <v>1.5063936773963058</v>
      </c>
    </row>
    <row r="960" spans="1:2" x14ac:dyDescent="0.3">
      <c r="A960">
        <f t="shared" si="28"/>
        <v>14.386580370142164</v>
      </c>
      <c r="B960">
        <f t="shared" si="29"/>
        <v>1.5079644737231006</v>
      </c>
    </row>
    <row r="961" spans="1:2" x14ac:dyDescent="0.3">
      <c r="A961">
        <f t="shared" si="28"/>
        <v>14.793623173676817</v>
      </c>
      <c r="B961">
        <f t="shared" si="29"/>
        <v>1.5095352700498956</v>
      </c>
    </row>
    <row r="962" spans="1:2" x14ac:dyDescent="0.3">
      <c r="A962">
        <f t="shared" ref="A962:A1000" si="30">TAN(B962)-B962</f>
        <v>15.222144356910736</v>
      </c>
      <c r="B962">
        <f t="shared" ref="B962:B1000" si="31">ROW()*0.001*PI()/2</f>
        <v>1.5111060663766904</v>
      </c>
    </row>
    <row r="963" spans="1:2" x14ac:dyDescent="0.3">
      <c r="A963">
        <f t="shared" si="30"/>
        <v>15.673885412244518</v>
      </c>
      <c r="B963">
        <f t="shared" si="31"/>
        <v>1.5126768627034852</v>
      </c>
    </row>
    <row r="964" spans="1:2" x14ac:dyDescent="0.3">
      <c r="A964">
        <f t="shared" si="30"/>
        <v>16.150781331176653</v>
      </c>
      <c r="B964">
        <f t="shared" si="31"/>
        <v>1.5142476590302802</v>
      </c>
    </row>
    <row r="965" spans="1:2" x14ac:dyDescent="0.3">
      <c r="A965">
        <f t="shared" si="30"/>
        <v>16.654988247031632</v>
      </c>
      <c r="B965">
        <f t="shared" si="31"/>
        <v>1.515818455357075</v>
      </c>
    </row>
    <row r="966" spans="1:2" x14ac:dyDescent="0.3">
      <c r="A966">
        <f t="shared" si="30"/>
        <v>17.188915955817219</v>
      </c>
      <c r="B966">
        <f t="shared" si="31"/>
        <v>1.5173892516838701</v>
      </c>
    </row>
    <row r="967" spans="1:2" x14ac:dyDescent="0.3">
      <c r="A967">
        <f t="shared" si="30"/>
        <v>17.75526634996374</v>
      </c>
      <c r="B967">
        <f t="shared" si="31"/>
        <v>1.5189600480106649</v>
      </c>
    </row>
    <row r="968" spans="1:2" x14ac:dyDescent="0.3">
      <c r="A968">
        <f t="shared" si="30"/>
        <v>18.357079058390795</v>
      </c>
      <c r="B968">
        <f t="shared" si="31"/>
        <v>1.5205308443374599</v>
      </c>
    </row>
    <row r="969" spans="1:2" x14ac:dyDescent="0.3">
      <c r="A969">
        <f t="shared" si="30"/>
        <v>18.997785920133861</v>
      </c>
      <c r="B969">
        <f t="shared" si="31"/>
        <v>1.5221016406642547</v>
      </c>
    </row>
    <row r="970" spans="1:2" x14ac:dyDescent="0.3">
      <c r="A970">
        <f t="shared" si="30"/>
        <v>19.681276352697697</v>
      </c>
      <c r="B970">
        <f t="shared" si="31"/>
        <v>1.5236724369910497</v>
      </c>
    </row>
    <row r="971" spans="1:2" x14ac:dyDescent="0.3">
      <c r="A971">
        <f t="shared" si="30"/>
        <v>20.411976244895115</v>
      </c>
      <c r="B971">
        <f t="shared" si="31"/>
        <v>1.5252432333178445</v>
      </c>
    </row>
    <row r="972" spans="1:2" x14ac:dyDescent="0.3">
      <c r="A972">
        <f t="shared" si="30"/>
        <v>21.194943755295704</v>
      </c>
      <c r="B972">
        <f t="shared" si="31"/>
        <v>1.5268140296446395</v>
      </c>
    </row>
    <row r="973" spans="1:2" x14ac:dyDescent="0.3">
      <c r="A973">
        <f t="shared" si="30"/>
        <v>22.035986399216917</v>
      </c>
      <c r="B973">
        <f t="shared" si="31"/>
        <v>1.5283848259714343</v>
      </c>
    </row>
    <row r="974" spans="1:2" x14ac:dyDescent="0.3">
      <c r="A974">
        <f t="shared" si="30"/>
        <v>22.941805155791855</v>
      </c>
      <c r="B974">
        <f t="shared" si="31"/>
        <v>1.5299556222982291</v>
      </c>
    </row>
    <row r="975" spans="1:2" x14ac:dyDescent="0.3">
      <c r="A975">
        <f t="shared" si="30"/>
        <v>23.920173160732016</v>
      </c>
      <c r="B975">
        <f t="shared" si="31"/>
        <v>1.5315264186250241</v>
      </c>
    </row>
    <row r="976" spans="1:2" x14ac:dyDescent="0.3">
      <c r="A976">
        <f t="shared" si="30"/>
        <v>24.980159072280728</v>
      </c>
      <c r="B976">
        <f t="shared" si="31"/>
        <v>1.5330972149518189</v>
      </c>
    </row>
    <row r="977" spans="1:2" x14ac:dyDescent="0.3">
      <c r="A977">
        <f t="shared" si="30"/>
        <v>26.132408706547217</v>
      </c>
      <c r="B977">
        <f t="shared" si="31"/>
        <v>1.534668011278614</v>
      </c>
    </row>
    <row r="978" spans="1:2" x14ac:dyDescent="0.3">
      <c r="A978">
        <f t="shared" si="30"/>
        <v>27.389503482474847</v>
      </c>
      <c r="B978">
        <f t="shared" si="31"/>
        <v>1.5362388076054088</v>
      </c>
    </row>
    <row r="979" spans="1:2" x14ac:dyDescent="0.3">
      <c r="A979">
        <f t="shared" si="30"/>
        <v>28.7664212796602</v>
      </c>
      <c r="B979">
        <f t="shared" si="31"/>
        <v>1.5378096039322038</v>
      </c>
    </row>
    <row r="980" spans="1:2" x14ac:dyDescent="0.3">
      <c r="A980">
        <f t="shared" si="30"/>
        <v>30.281135553514854</v>
      </c>
      <c r="B980">
        <f t="shared" si="31"/>
        <v>1.5393804002589986</v>
      </c>
    </row>
    <row r="981" spans="1:2" x14ac:dyDescent="0.3">
      <c r="A981">
        <f t="shared" si="30"/>
        <v>31.955403644692112</v>
      </c>
      <c r="B981">
        <f t="shared" si="31"/>
        <v>1.5409511965857936</v>
      </c>
    </row>
    <row r="982" spans="1:2" x14ac:dyDescent="0.3">
      <c r="A982">
        <f t="shared" si="30"/>
        <v>33.815817858318908</v>
      </c>
      <c r="B982">
        <f t="shared" si="31"/>
        <v>1.5425219929125884</v>
      </c>
    </row>
    <row r="983" spans="1:2" x14ac:dyDescent="0.3">
      <c r="A983">
        <f t="shared" si="30"/>
        <v>35.89522751237228</v>
      </c>
      <c r="B983">
        <f t="shared" si="31"/>
        <v>1.5440927892393832</v>
      </c>
    </row>
    <row r="984" spans="1:2" x14ac:dyDescent="0.3">
      <c r="A984">
        <f t="shared" si="30"/>
        <v>38.234694254194245</v>
      </c>
      <c r="B984">
        <f t="shared" si="31"/>
        <v>1.5456635855661782</v>
      </c>
    </row>
    <row r="985" spans="1:2" x14ac:dyDescent="0.3">
      <c r="A985">
        <f t="shared" si="30"/>
        <v>40.886229503612327</v>
      </c>
      <c r="B985">
        <f t="shared" si="31"/>
        <v>1.547234381892973</v>
      </c>
    </row>
    <row r="986" spans="1:2" x14ac:dyDescent="0.3">
      <c r="A986">
        <f t="shared" si="30"/>
        <v>43.916705085972858</v>
      </c>
      <c r="B986">
        <f t="shared" si="31"/>
        <v>1.548805178219768</v>
      </c>
    </row>
    <row r="987" spans="1:2" x14ac:dyDescent="0.3">
      <c r="A987">
        <f t="shared" si="30"/>
        <v>47.413568772721618</v>
      </c>
      <c r="B987">
        <f t="shared" si="31"/>
        <v>1.5503759745465628</v>
      </c>
    </row>
    <row r="988" spans="1:2" x14ac:dyDescent="0.3">
      <c r="A988">
        <f t="shared" si="30"/>
        <v>51.493417592282746</v>
      </c>
      <c r="B988">
        <f t="shared" si="31"/>
        <v>1.5519467708733579</v>
      </c>
    </row>
    <row r="989" spans="1:2" x14ac:dyDescent="0.3">
      <c r="A989">
        <f t="shared" si="30"/>
        <v>56.3152474923168</v>
      </c>
      <c r="B989">
        <f t="shared" si="31"/>
        <v>1.5535175672001527</v>
      </c>
    </row>
    <row r="990" spans="1:2" x14ac:dyDescent="0.3">
      <c r="A990">
        <f t="shared" si="30"/>
        <v>62.101652799344748</v>
      </c>
      <c r="B990">
        <f t="shared" si="31"/>
        <v>1.5550883635269477</v>
      </c>
    </row>
    <row r="991" spans="1:2" x14ac:dyDescent="0.3">
      <c r="A991">
        <f t="shared" si="30"/>
        <v>69.174158651441218</v>
      </c>
      <c r="B991">
        <f t="shared" si="31"/>
        <v>1.5566591598537425</v>
      </c>
    </row>
    <row r="992" spans="1:2" x14ac:dyDescent="0.3">
      <c r="A992">
        <f t="shared" si="30"/>
        <v>78.015052755462804</v>
      </c>
      <c r="B992">
        <f t="shared" si="31"/>
        <v>1.5582299561805373</v>
      </c>
    </row>
    <row r="993" spans="1:2" x14ac:dyDescent="0.3">
      <c r="A993">
        <f t="shared" si="30"/>
        <v>89.382215793318025</v>
      </c>
      <c r="B993">
        <f t="shared" si="31"/>
        <v>1.5598007525073323</v>
      </c>
    </row>
    <row r="994" spans="1:2" x14ac:dyDescent="0.3">
      <c r="A994">
        <f t="shared" si="30"/>
        <v>104.53878223450366</v>
      </c>
      <c r="B994">
        <f t="shared" si="31"/>
        <v>1.5613715488341271</v>
      </c>
    </row>
    <row r="995" spans="1:2" x14ac:dyDescent="0.3">
      <c r="A995">
        <f t="shared" si="30"/>
        <v>125.75839412371096</v>
      </c>
      <c r="B995">
        <f t="shared" si="31"/>
        <v>1.5629423451609221</v>
      </c>
    </row>
    <row r="996" spans="1:2" x14ac:dyDescent="0.3">
      <c r="A996">
        <f t="shared" si="30"/>
        <v>157.58833554979009</v>
      </c>
      <c r="B996">
        <f t="shared" si="31"/>
        <v>1.5645131414877169</v>
      </c>
    </row>
    <row r="997" spans="1:2" x14ac:dyDescent="0.3">
      <c r="A997">
        <f t="shared" si="30"/>
        <v>210.63893605272744</v>
      </c>
      <c r="B997">
        <f t="shared" si="31"/>
        <v>1.5660839378145119</v>
      </c>
    </row>
    <row r="998" spans="1:2" x14ac:dyDescent="0.3">
      <c r="A998">
        <f t="shared" si="30"/>
        <v>316.74118425140028</v>
      </c>
      <c r="B998">
        <f t="shared" si="31"/>
        <v>1.5676547341413067</v>
      </c>
    </row>
    <row r="999" spans="1:2" x14ac:dyDescent="0.3">
      <c r="A999">
        <f t="shared" si="30"/>
        <v>635.05002323826636</v>
      </c>
      <c r="B999">
        <f t="shared" si="31"/>
        <v>1.5692255304681018</v>
      </c>
    </row>
    <row r="1000" spans="1:2" x14ac:dyDescent="0.3">
      <c r="A1000">
        <f t="shared" si="30"/>
        <v>1.632455227761907E+16</v>
      </c>
      <c r="B1000">
        <f t="shared" si="31"/>
        <v>1.5707963267948966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V26_LCC</vt:lpstr>
      <vt:lpstr>V26_LCC_dipoles</vt:lpstr>
      <vt:lpstr>V26_LCC_quadrupoles</vt:lpstr>
      <vt:lpstr>V26_LCC_sextupoles</vt:lpstr>
      <vt:lpstr>tanx-x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CHANCE Antoine</dc:creator>
  <cp:lastModifiedBy>CHANCE Antoine</cp:lastModifiedBy>
  <cp:revision>1</cp:revision>
  <dcterms:created xsi:type="dcterms:W3CDTF">2024-02-08T12:49:43Z</dcterms:created>
  <dcterms:modified xsi:type="dcterms:W3CDTF">2026-05-05T13:56:08Z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CEA Saclay</vt:lpwstr>
  </property>
</Properties>
</file>